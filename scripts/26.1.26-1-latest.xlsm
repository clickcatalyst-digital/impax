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impax\Desktop\"/>
    </mc:Choice>
  </mc:AlternateContent>
  <bookViews>
    <workbookView xWindow="0" yWindow="0" windowWidth="28800" windowHeight="12435" activeTab="1"/>
  </bookViews>
  <sheets>
    <sheet name="Export Summary" sheetId="1" r:id="rId1"/>
    <sheet name="STOCK" sheetId="2" r:id="rId2"/>
    <sheet name="DESI.S99" sheetId="5" r:id="rId3"/>
    <sheet name="JWEL" sheetId="3" r:id="rId4"/>
    <sheet name="BLANK PCB" sheetId="4" r:id="rId5"/>
    <sheet name="ORDER" sheetId="6" r:id="rId6"/>
  </sheet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F33" i="6" l="1"/>
  <c r="J33" i="6"/>
  <c r="H33" i="6"/>
  <c r="F32" i="6"/>
  <c r="J32" i="6"/>
  <c r="H32" i="6"/>
  <c r="F31" i="6"/>
  <c r="J31" i="6"/>
  <c r="H31" i="6"/>
  <c r="F30" i="6"/>
  <c r="J30" i="6"/>
  <c r="H30" i="6"/>
  <c r="F29" i="6"/>
  <c r="J29" i="6"/>
  <c r="H29" i="6"/>
  <c r="F28" i="6"/>
  <c r="J28" i="6"/>
  <c r="H28" i="6"/>
  <c r="F27" i="6"/>
  <c r="J27" i="6"/>
  <c r="H27" i="6"/>
  <c r="F26" i="6"/>
  <c r="J26" i="6"/>
  <c r="H26" i="6"/>
  <c r="F25" i="6"/>
  <c r="J25" i="6"/>
  <c r="H25" i="6"/>
  <c r="F24" i="6"/>
  <c r="J24" i="6"/>
  <c r="H24" i="6"/>
  <c r="J23" i="6"/>
  <c r="F22" i="6"/>
  <c r="J22" i="6"/>
  <c r="H22" i="6"/>
  <c r="F21" i="6"/>
  <c r="J21" i="6"/>
  <c r="H21" i="6"/>
  <c r="F20" i="6"/>
  <c r="J20" i="6"/>
  <c r="H20" i="6"/>
  <c r="F19" i="6"/>
  <c r="J19" i="6"/>
  <c r="H19" i="6"/>
  <c r="H15" i="6"/>
  <c r="U15" i="6"/>
  <c r="R15" i="6"/>
  <c r="K15" i="6"/>
  <c r="P15" i="6"/>
  <c r="M15" i="6"/>
  <c r="H14" i="6"/>
  <c r="U14" i="6"/>
  <c r="R14" i="6"/>
  <c r="K14" i="6"/>
  <c r="P14" i="6"/>
  <c r="M14" i="6"/>
  <c r="H13" i="6"/>
  <c r="U13" i="6"/>
  <c r="R13" i="6"/>
  <c r="K13" i="6"/>
  <c r="P13" i="6"/>
  <c r="M13" i="6"/>
  <c r="H12" i="6"/>
  <c r="U12" i="6"/>
  <c r="R12" i="6"/>
  <c r="H11" i="6"/>
  <c r="U11" i="6"/>
  <c r="R11" i="6"/>
  <c r="H10" i="6"/>
  <c r="U10" i="6"/>
  <c r="R10" i="6"/>
  <c r="H9" i="6"/>
  <c r="U9" i="6"/>
  <c r="R9" i="6"/>
  <c r="K9" i="6"/>
  <c r="P9" i="6"/>
  <c r="M9" i="6"/>
  <c r="H8" i="6"/>
  <c r="U8" i="6"/>
  <c r="R8" i="6"/>
  <c r="K8" i="6"/>
  <c r="P8" i="6"/>
  <c r="M8" i="6"/>
  <c r="H7" i="6"/>
  <c r="U7" i="6"/>
  <c r="R7" i="6"/>
  <c r="K7" i="6"/>
  <c r="P7" i="6"/>
  <c r="M7" i="6"/>
  <c r="H6" i="6"/>
  <c r="U6" i="6"/>
  <c r="R6" i="6"/>
  <c r="K6" i="6"/>
  <c r="P6" i="6"/>
  <c r="M6" i="6"/>
  <c r="H5" i="6"/>
  <c r="U5" i="6"/>
  <c r="R5" i="6"/>
  <c r="H4" i="6"/>
  <c r="U4" i="6"/>
  <c r="R4" i="6"/>
  <c r="H3" i="6"/>
  <c r="U3" i="6"/>
  <c r="R3" i="6"/>
  <c r="K3" i="6"/>
  <c r="P3" i="6"/>
  <c r="M3" i="6"/>
  <c r="H2" i="6"/>
  <c r="U2" i="6"/>
  <c r="R2" i="6"/>
  <c r="K2" i="6"/>
  <c r="P2" i="6"/>
  <c r="M2" i="6"/>
  <c r="H49" i="2"/>
  <c r="R49" i="2"/>
  <c r="U49" i="2"/>
  <c r="H96" i="2"/>
  <c r="R96" i="2"/>
  <c r="H95" i="2"/>
  <c r="R95" i="2"/>
  <c r="H97" i="2"/>
  <c r="U96" i="2"/>
  <c r="H70" i="2"/>
  <c r="R70" i="2"/>
  <c r="H71" i="2"/>
  <c r="R71" i="2"/>
  <c r="H72" i="2"/>
  <c r="R72" i="2"/>
  <c r="U70" i="2"/>
  <c r="J3" i="4"/>
  <c r="F4" i="4"/>
  <c r="J4" i="4"/>
  <c r="J5" i="4"/>
  <c r="J6" i="4"/>
  <c r="J7" i="4"/>
  <c r="F8" i="4"/>
  <c r="J8" i="4"/>
  <c r="J9" i="4"/>
  <c r="F10" i="4"/>
  <c r="J10" i="4"/>
  <c r="F11" i="4"/>
  <c r="J11" i="4"/>
  <c r="J12" i="4"/>
  <c r="J13" i="4"/>
  <c r="F14" i="4"/>
  <c r="J14" i="4"/>
  <c r="F15" i="4"/>
  <c r="J15" i="4"/>
  <c r="J16" i="4"/>
  <c r="F17" i="4"/>
  <c r="J17" i="4"/>
  <c r="F18" i="4"/>
  <c r="J18" i="4"/>
  <c r="J19" i="4"/>
  <c r="F20" i="4"/>
  <c r="J20" i="4"/>
  <c r="F21" i="4"/>
  <c r="J21" i="4"/>
  <c r="J22" i="4"/>
  <c r="J23" i="4"/>
  <c r="J24" i="4"/>
  <c r="J25" i="4"/>
  <c r="F26" i="4"/>
  <c r="J26" i="4"/>
  <c r="J27" i="4"/>
  <c r="J28" i="4"/>
  <c r="F29" i="4"/>
  <c r="J29" i="4"/>
  <c r="J30" i="4"/>
  <c r="J31" i="4"/>
  <c r="J32" i="4"/>
  <c r="F33" i="4"/>
  <c r="J33" i="4"/>
  <c r="J34" i="4"/>
  <c r="J35" i="4"/>
  <c r="J36" i="4"/>
  <c r="J37" i="4"/>
  <c r="J38" i="4"/>
  <c r="F39" i="4"/>
  <c r="J39" i="4"/>
  <c r="J40" i="4"/>
  <c r="J41" i="4"/>
  <c r="J42" i="4"/>
  <c r="J43" i="4"/>
  <c r="F44" i="4"/>
  <c r="J44" i="4"/>
  <c r="F45" i="4"/>
  <c r="J45" i="4"/>
  <c r="J46" i="4"/>
  <c r="J47" i="4"/>
  <c r="F48" i="4"/>
  <c r="J48" i="4"/>
  <c r="J49" i="4"/>
  <c r="F50" i="4"/>
  <c r="J50" i="4"/>
  <c r="J51" i="4"/>
  <c r="F52" i="4"/>
  <c r="J52" i="4"/>
  <c r="F53" i="4"/>
  <c r="J53" i="4"/>
  <c r="J54" i="4"/>
  <c r="J55" i="4"/>
  <c r="J56" i="4"/>
  <c r="J57" i="4"/>
  <c r="J58" i="4"/>
  <c r="J59" i="4"/>
  <c r="J60" i="4"/>
  <c r="J61" i="4"/>
  <c r="J62" i="4"/>
  <c r="J63" i="4"/>
  <c r="F64" i="4"/>
  <c r="J64" i="4"/>
  <c r="J65" i="4"/>
  <c r="F66" i="4"/>
  <c r="J66" i="4"/>
  <c r="J67" i="4"/>
  <c r="J68" i="4"/>
  <c r="F69" i="4"/>
  <c r="J69" i="4"/>
  <c r="J70" i="4"/>
  <c r="F71" i="4"/>
  <c r="J71" i="4"/>
  <c r="J72" i="4"/>
  <c r="F73" i="4"/>
  <c r="J73" i="4"/>
  <c r="F74" i="4"/>
  <c r="J74" i="4"/>
  <c r="J75" i="4"/>
  <c r="J76" i="4"/>
  <c r="J77" i="4"/>
  <c r="J78" i="4"/>
  <c r="F79" i="4"/>
  <c r="J79" i="4"/>
  <c r="J80" i="4"/>
  <c r="F81" i="4"/>
  <c r="J81" i="4"/>
  <c r="J82" i="4"/>
  <c r="F83" i="4"/>
  <c r="J83" i="4"/>
  <c r="J84" i="4"/>
  <c r="J85" i="4"/>
  <c r="J86" i="4"/>
  <c r="F87" i="4"/>
  <c r="J87" i="4"/>
  <c r="F88" i="4"/>
  <c r="J88" i="4"/>
  <c r="F89" i="4"/>
  <c r="J89" i="4"/>
  <c r="J90" i="4"/>
  <c r="J91" i="4"/>
  <c r="F92" i="4"/>
  <c r="J92" i="4"/>
  <c r="F93" i="4"/>
  <c r="J93" i="4"/>
  <c r="F94" i="4"/>
  <c r="J94" i="4"/>
  <c r="F95" i="4"/>
  <c r="J95" i="4"/>
  <c r="J96" i="4"/>
  <c r="F97" i="4"/>
  <c r="J97" i="4"/>
  <c r="J98" i="4"/>
  <c r="F99" i="4"/>
  <c r="J99" i="4"/>
  <c r="J100" i="4"/>
  <c r="J101" i="4"/>
  <c r="F102" i="4"/>
  <c r="J102" i="4"/>
  <c r="F103" i="4"/>
  <c r="J103" i="4"/>
  <c r="F104" i="4"/>
  <c r="J104" i="4"/>
  <c r="F105" i="4"/>
  <c r="J105" i="4"/>
  <c r="F106" i="4"/>
  <c r="J106" i="4"/>
  <c r="F107" i="4"/>
  <c r="J107" i="4"/>
  <c r="F108" i="4"/>
  <c r="J108" i="4"/>
  <c r="F109" i="4"/>
  <c r="J109" i="4"/>
  <c r="F110" i="4"/>
  <c r="J110" i="4"/>
  <c r="F111" i="4"/>
  <c r="J111" i="4"/>
  <c r="J112" i="4"/>
  <c r="F113" i="4"/>
  <c r="J113" i="4"/>
  <c r="F114" i="4"/>
  <c r="J114" i="4"/>
  <c r="J115" i="4"/>
  <c r="F116" i="4"/>
  <c r="J116" i="4"/>
  <c r="J117" i="4"/>
  <c r="F118" i="4"/>
  <c r="J118" i="4"/>
  <c r="F119" i="4"/>
  <c r="J119" i="4"/>
  <c r="F120" i="4"/>
  <c r="J120" i="4"/>
  <c r="F121" i="4"/>
  <c r="J121" i="4"/>
  <c r="J122" i="4"/>
  <c r="F123" i="4"/>
  <c r="J123" i="4"/>
  <c r="J124" i="4"/>
  <c r="H3" i="2"/>
  <c r="U3" i="2"/>
  <c r="H4" i="2"/>
  <c r="U4" i="2"/>
  <c r="H5" i="2"/>
  <c r="U5" i="2"/>
  <c r="H6" i="2"/>
  <c r="U6" i="2"/>
  <c r="H7" i="2"/>
  <c r="U7" i="2"/>
  <c r="H8" i="2"/>
  <c r="U8" i="2"/>
  <c r="H9" i="2"/>
  <c r="U9" i="2"/>
  <c r="H10" i="2"/>
  <c r="U10" i="2"/>
  <c r="H11" i="2"/>
  <c r="U11" i="2"/>
  <c r="H12" i="2"/>
  <c r="U12" i="2"/>
  <c r="H13" i="2"/>
  <c r="U13" i="2"/>
  <c r="H14" i="2"/>
  <c r="U14" i="2"/>
  <c r="H15" i="2"/>
  <c r="U15" i="2"/>
  <c r="H16" i="2"/>
  <c r="U16" i="2"/>
  <c r="H17" i="2"/>
  <c r="U17" i="2"/>
  <c r="H18" i="2"/>
  <c r="U18" i="2"/>
  <c r="H19" i="2"/>
  <c r="U19" i="2"/>
  <c r="H20" i="2"/>
  <c r="U20" i="2"/>
  <c r="H21" i="2"/>
  <c r="U21" i="2"/>
  <c r="H22" i="2"/>
  <c r="U22" i="2"/>
  <c r="H23" i="2"/>
  <c r="U23" i="2"/>
  <c r="H24" i="2"/>
  <c r="U24" i="2"/>
  <c r="H25" i="2"/>
  <c r="U25" i="2"/>
  <c r="H26" i="2"/>
  <c r="U26" i="2"/>
  <c r="H27" i="2"/>
  <c r="U27" i="2"/>
  <c r="H28" i="2"/>
  <c r="U28" i="2"/>
  <c r="H29" i="2"/>
  <c r="U29" i="2"/>
  <c r="H30" i="2"/>
  <c r="U30" i="2"/>
  <c r="H31" i="2"/>
  <c r="U31" i="2"/>
  <c r="H32" i="2"/>
  <c r="U32" i="2"/>
  <c r="H33" i="2"/>
  <c r="U33" i="2"/>
  <c r="H34" i="2"/>
  <c r="U34" i="2"/>
  <c r="H35" i="2"/>
  <c r="U35" i="2"/>
  <c r="H36" i="2"/>
  <c r="U36" i="2"/>
  <c r="H37" i="2"/>
  <c r="U37" i="2"/>
  <c r="H38" i="2"/>
  <c r="U38" i="2"/>
  <c r="H39" i="2"/>
  <c r="U39" i="2"/>
  <c r="H40" i="2"/>
  <c r="U40" i="2"/>
  <c r="H41" i="2"/>
  <c r="U41" i="2"/>
  <c r="H42" i="2"/>
  <c r="U42" i="2"/>
  <c r="H43" i="2"/>
  <c r="U43" i="2"/>
  <c r="H44" i="2"/>
  <c r="U44" i="2"/>
  <c r="H45" i="2"/>
  <c r="U45" i="2"/>
  <c r="H46" i="2"/>
  <c r="U46" i="2"/>
  <c r="H47" i="2"/>
  <c r="U47" i="2"/>
  <c r="H48" i="2"/>
  <c r="U48" i="2"/>
  <c r="H50" i="2"/>
  <c r="U50" i="2"/>
  <c r="H51" i="2"/>
  <c r="U51" i="2"/>
  <c r="H52" i="2"/>
  <c r="U52" i="2"/>
  <c r="H53" i="2"/>
  <c r="U53" i="2"/>
  <c r="H54" i="2"/>
  <c r="U54" i="2"/>
  <c r="H55" i="2"/>
  <c r="U55" i="2"/>
  <c r="H56" i="2"/>
  <c r="U56" i="2"/>
  <c r="H57" i="2"/>
  <c r="U57" i="2"/>
  <c r="H58" i="2"/>
  <c r="U58" i="2"/>
  <c r="H59" i="2"/>
  <c r="U59" i="2"/>
  <c r="H60" i="2"/>
  <c r="U60" i="2"/>
  <c r="H61" i="2"/>
  <c r="U61" i="2"/>
  <c r="H62" i="2"/>
  <c r="U62" i="2"/>
  <c r="H63" i="2"/>
  <c r="U63" i="2"/>
  <c r="H64" i="2"/>
  <c r="U64" i="2"/>
  <c r="H65" i="2"/>
  <c r="U65" i="2"/>
  <c r="H66" i="2"/>
  <c r="U66" i="2"/>
  <c r="H67" i="2"/>
  <c r="U67" i="2"/>
  <c r="H68" i="2"/>
  <c r="U68" i="2"/>
  <c r="H69" i="2"/>
  <c r="U69" i="2"/>
  <c r="U71" i="2"/>
  <c r="U72" i="2"/>
  <c r="H73" i="2"/>
  <c r="U73" i="2"/>
  <c r="H74" i="2"/>
  <c r="U74" i="2"/>
  <c r="H75" i="2"/>
  <c r="U75" i="2"/>
  <c r="H76" i="2"/>
  <c r="U76" i="2"/>
  <c r="H77" i="2"/>
  <c r="U77" i="2"/>
  <c r="H78" i="2"/>
  <c r="U78" i="2"/>
  <c r="H79" i="2"/>
  <c r="U79" i="2"/>
  <c r="H80" i="2"/>
  <c r="U80" i="2"/>
  <c r="H81" i="2"/>
  <c r="U81" i="2"/>
  <c r="H82" i="2"/>
  <c r="U82" i="2"/>
  <c r="H83" i="2"/>
  <c r="U83" i="2"/>
  <c r="H84" i="2"/>
  <c r="U84" i="2"/>
  <c r="H85" i="2"/>
  <c r="U85" i="2"/>
  <c r="H86" i="2"/>
  <c r="U86" i="2"/>
  <c r="H87" i="2"/>
  <c r="U87" i="2"/>
  <c r="H88" i="2"/>
  <c r="U88" i="2"/>
  <c r="H89" i="2"/>
  <c r="U89" i="2"/>
  <c r="H90" i="2"/>
  <c r="U90" i="2"/>
  <c r="H91" i="2"/>
  <c r="U91" i="2"/>
  <c r="H92" i="2"/>
  <c r="U92" i="2"/>
  <c r="H93" i="2"/>
  <c r="U93" i="2"/>
  <c r="H94" i="2"/>
  <c r="U94" i="2"/>
  <c r="U95" i="2"/>
  <c r="U97" i="2"/>
  <c r="H98" i="2"/>
  <c r="U98" i="2"/>
  <c r="H99" i="2"/>
  <c r="U99" i="2"/>
  <c r="H100" i="2"/>
  <c r="U100" i="2"/>
  <c r="H101" i="2"/>
  <c r="U101" i="2"/>
  <c r="H102" i="2"/>
  <c r="U102" i="2"/>
  <c r="H103" i="2"/>
  <c r="U103" i="2"/>
  <c r="H104" i="2"/>
  <c r="U104" i="2"/>
  <c r="H105" i="2"/>
  <c r="U105" i="2"/>
  <c r="H106" i="2"/>
  <c r="U106" i="2"/>
  <c r="H107" i="2"/>
  <c r="U107" i="2"/>
  <c r="H108" i="2"/>
  <c r="U108" i="2"/>
  <c r="H109" i="2"/>
  <c r="U109" i="2"/>
  <c r="H110" i="2"/>
  <c r="U110" i="2"/>
  <c r="H111" i="2"/>
  <c r="U111" i="2"/>
  <c r="H112" i="2"/>
  <c r="U112" i="2"/>
  <c r="H113" i="2"/>
  <c r="U113" i="2"/>
  <c r="H114" i="2"/>
  <c r="U114" i="2"/>
  <c r="H115" i="2"/>
  <c r="U115" i="2"/>
  <c r="H116" i="2"/>
  <c r="U116" i="2"/>
  <c r="H117" i="2"/>
  <c r="U117" i="2"/>
  <c r="H118" i="2"/>
  <c r="U118" i="2"/>
  <c r="H119" i="2"/>
  <c r="U119" i="2"/>
  <c r="H120" i="2"/>
  <c r="U120" i="2"/>
  <c r="H121" i="2"/>
  <c r="U121" i="2"/>
  <c r="H122" i="2"/>
  <c r="U122" i="2"/>
  <c r="H123" i="2"/>
  <c r="U123" i="2"/>
  <c r="H124" i="2"/>
  <c r="U124" i="2"/>
  <c r="H125" i="2"/>
  <c r="U125" i="2"/>
  <c r="H126" i="2"/>
  <c r="U126" i="2"/>
  <c r="H127" i="2"/>
  <c r="U127" i="2"/>
  <c r="H128" i="2"/>
  <c r="U128" i="2"/>
  <c r="H129" i="2"/>
  <c r="U129" i="2"/>
  <c r="H130" i="2"/>
  <c r="U130" i="2"/>
  <c r="H131" i="2"/>
  <c r="U131" i="2"/>
  <c r="H132" i="2"/>
  <c r="U132" i="2"/>
  <c r="H133" i="2"/>
  <c r="U133" i="2"/>
  <c r="H134" i="2"/>
  <c r="U134" i="2"/>
  <c r="H135" i="2"/>
  <c r="U135" i="2"/>
  <c r="H136" i="2"/>
  <c r="U136" i="2"/>
  <c r="H137" i="2"/>
  <c r="U137" i="2"/>
  <c r="H138" i="2"/>
  <c r="U138" i="2"/>
  <c r="H139" i="2"/>
  <c r="U139" i="2"/>
  <c r="H140" i="2"/>
  <c r="U140" i="2"/>
  <c r="H141" i="2"/>
  <c r="U141" i="2"/>
  <c r="H142" i="2"/>
  <c r="U142" i="2"/>
  <c r="H143" i="2"/>
  <c r="U143" i="2"/>
  <c r="H144" i="2"/>
  <c r="U144" i="2"/>
  <c r="H145" i="2"/>
  <c r="U145" i="2"/>
  <c r="H146" i="2"/>
  <c r="U146" i="2"/>
  <c r="H147" i="2"/>
  <c r="U147" i="2"/>
  <c r="H148" i="2"/>
  <c r="U148" i="2"/>
  <c r="H149" i="2"/>
  <c r="U149" i="2"/>
  <c r="H150" i="2"/>
  <c r="U150" i="2"/>
  <c r="H151" i="2"/>
  <c r="U151" i="2"/>
  <c r="U152" i="2"/>
  <c r="U153" i="2"/>
  <c r="U154" i="2"/>
  <c r="H2" i="2"/>
  <c r="U2" i="2"/>
  <c r="J2" i="4"/>
  <c r="F6" i="4"/>
  <c r="F7" i="4"/>
  <c r="F9" i="4"/>
  <c r="F12" i="4"/>
  <c r="F13" i="4"/>
  <c r="F19" i="4"/>
  <c r="F22" i="4"/>
  <c r="F23" i="4"/>
  <c r="F24" i="4"/>
  <c r="F25" i="4"/>
  <c r="F27" i="4"/>
  <c r="F28" i="4"/>
  <c r="F30" i="4"/>
  <c r="F31" i="4"/>
  <c r="F32" i="4"/>
  <c r="F34" i="4"/>
  <c r="F35" i="4"/>
  <c r="F36" i="4"/>
  <c r="F37" i="4"/>
  <c r="F38" i="4"/>
  <c r="F40" i="4"/>
  <c r="F41" i="4"/>
  <c r="F42" i="4"/>
  <c r="F43" i="4"/>
  <c r="F46" i="4"/>
  <c r="F47" i="4"/>
  <c r="F49" i="4"/>
  <c r="F51" i="4"/>
  <c r="F54" i="4"/>
  <c r="F55" i="4"/>
  <c r="F56" i="4"/>
  <c r="F57" i="4"/>
  <c r="F58" i="4"/>
  <c r="F59" i="4"/>
  <c r="F60" i="4"/>
  <c r="F61" i="4"/>
  <c r="F62" i="4"/>
  <c r="F63" i="4"/>
  <c r="F65" i="4"/>
  <c r="F67" i="4"/>
  <c r="F68" i="4"/>
  <c r="F70" i="4"/>
  <c r="F72" i="4"/>
  <c r="F75" i="4"/>
  <c r="F76" i="4"/>
  <c r="F77" i="4"/>
  <c r="F78" i="4"/>
  <c r="F80" i="4"/>
  <c r="F82" i="4"/>
  <c r="F84" i="4"/>
  <c r="F85" i="4"/>
  <c r="F86" i="4"/>
  <c r="F90" i="4"/>
  <c r="F91" i="4"/>
  <c r="F96" i="4"/>
  <c r="F98" i="4"/>
  <c r="F100" i="4"/>
  <c r="F101" i="4"/>
  <c r="F112" i="4"/>
  <c r="F115" i="4"/>
  <c r="F117" i="4"/>
  <c r="F122" i="4"/>
  <c r="F124" i="4"/>
  <c r="F3" i="4"/>
  <c r="F5" i="4"/>
  <c r="F2" i="4"/>
  <c r="R6" i="2"/>
  <c r="R8" i="2"/>
  <c r="R7" i="2"/>
  <c r="R5" i="2"/>
  <c r="R73" i="2"/>
  <c r="R139" i="2"/>
  <c r="R140" i="2"/>
  <c r="H40" i="4"/>
  <c r="H39" i="4"/>
  <c r="H82" i="4"/>
  <c r="H115" i="4"/>
  <c r="H103" i="4"/>
  <c r="H91" i="4"/>
  <c r="H78" i="4"/>
  <c r="H70" i="4"/>
  <c r="H62" i="4"/>
  <c r="H50" i="4"/>
  <c r="H42" i="4"/>
  <c r="H32" i="4"/>
  <c r="H28" i="4"/>
  <c r="H24" i="4"/>
  <c r="H20" i="4"/>
  <c r="H12" i="4"/>
  <c r="H8" i="4"/>
  <c r="H4" i="4"/>
  <c r="H122" i="4"/>
  <c r="H118" i="4"/>
  <c r="H114" i="4"/>
  <c r="H110" i="4"/>
  <c r="H106" i="4"/>
  <c r="H102" i="4"/>
  <c r="H98" i="4"/>
  <c r="H94" i="4"/>
  <c r="H90" i="4"/>
  <c r="H86" i="4"/>
  <c r="H81" i="4"/>
  <c r="H77" i="4"/>
  <c r="H73" i="4"/>
  <c r="H69" i="4"/>
  <c r="H65" i="4"/>
  <c r="H61" i="4"/>
  <c r="H57" i="4"/>
  <c r="H53" i="4"/>
  <c r="H49" i="4"/>
  <c r="H45" i="4"/>
  <c r="H41" i="4"/>
  <c r="H35" i="4"/>
  <c r="H31" i="4"/>
  <c r="H27" i="4"/>
  <c r="H23" i="4"/>
  <c r="H19" i="4"/>
  <c r="H15" i="4"/>
  <c r="H11" i="4"/>
  <c r="H7" i="4"/>
  <c r="H3" i="4"/>
  <c r="H123" i="4"/>
  <c r="H119" i="4"/>
  <c r="H111" i="4"/>
  <c r="H107" i="4"/>
  <c r="H99" i="4"/>
  <c r="H95" i="4"/>
  <c r="H87" i="4"/>
  <c r="H83" i="4"/>
  <c r="H74" i="4"/>
  <c r="H66" i="4"/>
  <c r="H58" i="4"/>
  <c r="H54" i="4"/>
  <c r="H46" i="4"/>
  <c r="H36" i="4"/>
  <c r="H121" i="4"/>
  <c r="H117" i="4"/>
  <c r="H113" i="4"/>
  <c r="H109" i="4"/>
  <c r="H105" i="4"/>
  <c r="H101" i="4"/>
  <c r="H97" i="4"/>
  <c r="H93" i="4"/>
  <c r="H89" i="4"/>
  <c r="H85" i="4"/>
  <c r="H80" i="4"/>
  <c r="H76" i="4"/>
  <c r="H72" i="4"/>
  <c r="H68" i="4"/>
  <c r="H64" i="4"/>
  <c r="H60" i="4"/>
  <c r="H56" i="4"/>
  <c r="H52" i="4"/>
  <c r="H48" i="4"/>
  <c r="H44" i="4"/>
  <c r="H38" i="4"/>
  <c r="H34" i="4"/>
  <c r="H30" i="4"/>
  <c r="H26" i="4"/>
  <c r="H22" i="4"/>
  <c r="H18" i="4"/>
  <c r="H14" i="4"/>
  <c r="H10" i="4"/>
  <c r="H6" i="4"/>
  <c r="H124" i="4"/>
  <c r="H120" i="4"/>
  <c r="H116" i="4"/>
  <c r="H112" i="4"/>
  <c r="H108" i="4"/>
  <c r="H104" i="4"/>
  <c r="H100" i="4"/>
  <c r="H96" i="4"/>
  <c r="H92" i="4"/>
  <c r="H88" i="4"/>
  <c r="H84" i="4"/>
  <c r="H79" i="4"/>
  <c r="H75" i="4"/>
  <c r="H71" i="4"/>
  <c r="H67" i="4"/>
  <c r="H63" i="4"/>
  <c r="H59" i="4"/>
  <c r="H55" i="4"/>
  <c r="H51" i="4"/>
  <c r="H47" i="4"/>
  <c r="H43" i="4"/>
  <c r="H37" i="4"/>
  <c r="H33" i="4"/>
  <c r="H29" i="4"/>
  <c r="H25" i="4"/>
  <c r="H21" i="4"/>
  <c r="H17" i="4"/>
  <c r="H13" i="4"/>
  <c r="H9" i="4"/>
  <c r="H5" i="4"/>
  <c r="R141" i="2"/>
  <c r="R9" i="2"/>
  <c r="R10" i="2"/>
  <c r="R11" i="2"/>
  <c r="R14" i="2"/>
  <c r="R15" i="2"/>
  <c r="R20" i="2"/>
  <c r="R22" i="2"/>
  <c r="R23" i="2"/>
  <c r="R24" i="2"/>
  <c r="R25" i="2"/>
  <c r="R29" i="2"/>
  <c r="R30" i="2"/>
  <c r="R31" i="2"/>
  <c r="R32" i="2"/>
  <c r="R33" i="2"/>
  <c r="R35" i="2"/>
  <c r="R37" i="2"/>
  <c r="R39" i="2"/>
  <c r="R40" i="2"/>
  <c r="R41" i="2"/>
  <c r="R42" i="2"/>
  <c r="R43" i="2"/>
  <c r="R45" i="2"/>
  <c r="R48" i="2"/>
  <c r="R50" i="2"/>
  <c r="R51" i="2"/>
  <c r="R52" i="2"/>
  <c r="R55" i="2"/>
  <c r="R59" i="2"/>
  <c r="R60" i="2"/>
  <c r="R65" i="2"/>
  <c r="R66" i="2"/>
  <c r="R67" i="2"/>
  <c r="R74" i="2"/>
  <c r="R76" i="2"/>
  <c r="R77" i="2"/>
  <c r="R78" i="2"/>
  <c r="R79" i="2"/>
  <c r="R80" i="2"/>
  <c r="R81" i="2"/>
  <c r="R82" i="2"/>
  <c r="R83" i="2"/>
  <c r="R84" i="2"/>
  <c r="R85" i="2"/>
  <c r="R88" i="2"/>
  <c r="R90" i="2"/>
  <c r="R91" i="2"/>
  <c r="R98" i="2"/>
  <c r="R100" i="2"/>
  <c r="R101" i="2"/>
  <c r="R102" i="2"/>
  <c r="R103" i="2"/>
  <c r="R104" i="2"/>
  <c r="R106" i="2"/>
  <c r="R107" i="2"/>
  <c r="R108" i="2"/>
  <c r="R111" i="2"/>
  <c r="R113" i="2"/>
  <c r="R114" i="2"/>
  <c r="R115" i="2"/>
  <c r="R118" i="2"/>
  <c r="R120" i="2"/>
  <c r="R121" i="2"/>
  <c r="R122" i="2"/>
  <c r="R123" i="2"/>
  <c r="R124" i="2"/>
  <c r="R125" i="2"/>
  <c r="R126" i="2"/>
  <c r="R128" i="2"/>
  <c r="R129" i="2"/>
  <c r="R130" i="2"/>
  <c r="R131" i="2"/>
  <c r="R132" i="2"/>
  <c r="R134" i="2"/>
  <c r="R135" i="2"/>
  <c r="R138" i="2"/>
  <c r="R142" i="2"/>
  <c r="R143" i="2"/>
  <c r="R144" i="2"/>
  <c r="R147" i="2"/>
  <c r="R150" i="2"/>
  <c r="R64" i="2"/>
  <c r="R99" i="2"/>
  <c r="R146" i="2"/>
  <c r="R133" i="2"/>
  <c r="R44" i="2"/>
  <c r="R116" i="2"/>
  <c r="R38" i="2"/>
  <c r="R34" i="2"/>
  <c r="R36" i="2"/>
  <c r="R46" i="2"/>
  <c r="R69" i="2"/>
  <c r="R54" i="2"/>
  <c r="R119" i="2"/>
  <c r="R117" i="2"/>
  <c r="R112" i="2"/>
  <c r="R105" i="2"/>
  <c r="R19" i="2"/>
  <c r="R53" i="2"/>
  <c r="R86" i="2"/>
  <c r="R89" i="2"/>
  <c r="R61" i="2"/>
  <c r="R27" i="2"/>
  <c r="R28" i="2"/>
  <c r="R16" i="2"/>
  <c r="R68" i="2"/>
  <c r="R13" i="2"/>
  <c r="R109" i="2"/>
  <c r="R21" i="2"/>
  <c r="R17" i="2"/>
  <c r="R57" i="2"/>
  <c r="R58" i="2"/>
  <c r="R87" i="2"/>
  <c r="R92" i="2"/>
  <c r="R97" i="2"/>
  <c r="R56" i="2"/>
  <c r="R137" i="2"/>
  <c r="R62" i="2"/>
  <c r="R145" i="2"/>
  <c r="R127" i="2"/>
  <c r="R63" i="2"/>
  <c r="R94" i="2"/>
  <c r="R93" i="2"/>
  <c r="R149" i="2"/>
  <c r="R136" i="2"/>
  <c r="R26" i="2"/>
  <c r="R12" i="2"/>
  <c r="R4" i="2"/>
  <c r="R47" i="2"/>
  <c r="R151" i="2"/>
  <c r="R110" i="2"/>
  <c r="R3" i="2"/>
  <c r="R18" i="2"/>
  <c r="R75" i="2"/>
  <c r="R148" i="2"/>
  <c r="H2" i="4"/>
  <c r="H125" i="4"/>
  <c r="E2" i="5"/>
  <c r="E3" i="5"/>
  <c r="E4" i="5"/>
  <c r="E5" i="5"/>
  <c r="E6" i="5"/>
  <c r="E7" i="5"/>
  <c r="E8" i="5"/>
  <c r="E9" i="5"/>
  <c r="E10" i="5"/>
  <c r="E11" i="5"/>
  <c r="E12" i="5"/>
  <c r="E13" i="5"/>
  <c r="E14" i="5"/>
  <c r="E15" i="5"/>
  <c r="E16" i="5"/>
  <c r="E17" i="5"/>
  <c r="E18" i="5"/>
  <c r="E19" i="5"/>
  <c r="E20" i="5"/>
  <c r="E21" i="5"/>
  <c r="E22" i="5"/>
  <c r="E24" i="5"/>
  <c r="J54" i="3"/>
  <c r="L54" i="3"/>
  <c r="J53" i="3"/>
  <c r="L53" i="3"/>
  <c r="J52" i="3"/>
  <c r="L52" i="3"/>
  <c r="J51" i="3"/>
  <c r="L51" i="3"/>
  <c r="J50" i="3"/>
  <c r="L50" i="3"/>
  <c r="J49" i="3"/>
  <c r="L49" i="3"/>
  <c r="J48" i="3"/>
  <c r="L48" i="3"/>
  <c r="J47" i="3"/>
  <c r="L47" i="3"/>
  <c r="J46" i="3"/>
  <c r="L46" i="3"/>
  <c r="J45" i="3"/>
  <c r="L45" i="3"/>
  <c r="J44" i="3"/>
  <c r="L44" i="3"/>
  <c r="J43" i="3"/>
  <c r="L43" i="3"/>
  <c r="J42" i="3"/>
  <c r="L42" i="3"/>
  <c r="J41" i="3"/>
  <c r="L41" i="3"/>
  <c r="J40" i="3"/>
  <c r="L40" i="3"/>
  <c r="J39" i="3"/>
  <c r="L39" i="3"/>
  <c r="J38" i="3"/>
  <c r="L38" i="3"/>
  <c r="J37" i="3"/>
  <c r="L37" i="3"/>
  <c r="J36" i="3"/>
  <c r="L36" i="3"/>
  <c r="J35" i="3"/>
  <c r="L35" i="3"/>
  <c r="J34" i="3"/>
  <c r="L34" i="3"/>
  <c r="J33" i="3"/>
  <c r="L33" i="3"/>
  <c r="J32" i="3"/>
  <c r="L32" i="3"/>
  <c r="J31" i="3"/>
  <c r="L31" i="3"/>
  <c r="J30" i="3"/>
  <c r="L30" i="3"/>
  <c r="J29" i="3"/>
  <c r="L29" i="3"/>
  <c r="J28" i="3"/>
  <c r="L28" i="3"/>
  <c r="J27" i="3"/>
  <c r="L27" i="3"/>
  <c r="J26" i="3"/>
  <c r="L26" i="3"/>
  <c r="J25" i="3"/>
  <c r="L25" i="3"/>
  <c r="J24" i="3"/>
  <c r="L24" i="3"/>
  <c r="J23" i="3"/>
  <c r="L23" i="3"/>
  <c r="J22" i="3"/>
  <c r="L22" i="3"/>
  <c r="J21" i="3"/>
  <c r="L21" i="3"/>
  <c r="J20" i="3"/>
  <c r="L20" i="3"/>
  <c r="J19" i="3"/>
  <c r="L19" i="3"/>
  <c r="J18" i="3"/>
  <c r="L18" i="3"/>
  <c r="J17" i="3"/>
  <c r="L17" i="3"/>
  <c r="J16" i="3"/>
  <c r="L16" i="3"/>
  <c r="J15" i="3"/>
  <c r="L15" i="3"/>
  <c r="J14" i="3"/>
  <c r="L14" i="3"/>
  <c r="J13" i="3"/>
  <c r="L13" i="3"/>
  <c r="J12" i="3"/>
  <c r="L12" i="3"/>
  <c r="J11" i="3"/>
  <c r="L11" i="3"/>
  <c r="J10" i="3"/>
  <c r="L10" i="3"/>
  <c r="J9" i="3"/>
  <c r="L9" i="3"/>
  <c r="J8" i="3"/>
  <c r="L8" i="3"/>
  <c r="J7" i="3"/>
  <c r="L7" i="3"/>
  <c r="J6" i="3"/>
  <c r="L6" i="3"/>
  <c r="J5" i="3"/>
  <c r="L5" i="3"/>
  <c r="J4" i="3"/>
  <c r="L4" i="3"/>
  <c r="J3" i="3"/>
  <c r="L3" i="3"/>
  <c r="J2" i="3"/>
  <c r="L2" i="3"/>
  <c r="K146" i="2"/>
  <c r="M146" i="2"/>
  <c r="K143" i="2"/>
  <c r="P143" i="2"/>
  <c r="K137" i="2"/>
  <c r="M137" i="2"/>
  <c r="K136" i="2"/>
  <c r="K134" i="2"/>
  <c r="P134" i="2"/>
  <c r="K129" i="2"/>
  <c r="K127" i="2"/>
  <c r="M127" i="2"/>
  <c r="K125" i="2"/>
  <c r="P125" i="2"/>
  <c r="K115" i="2"/>
  <c r="P115" i="2"/>
  <c r="K103" i="2"/>
  <c r="M103" i="2"/>
  <c r="K102" i="2"/>
  <c r="K100" i="2"/>
  <c r="P100" i="2"/>
  <c r="K90" i="2"/>
  <c r="P90" i="2"/>
  <c r="K88" i="2"/>
  <c r="K87" i="2"/>
  <c r="P87" i="2"/>
  <c r="K85" i="2"/>
  <c r="P85" i="2"/>
  <c r="K81" i="2"/>
  <c r="M81" i="2"/>
  <c r="K80" i="2"/>
  <c r="K78" i="2"/>
  <c r="P78" i="2"/>
  <c r="K67" i="2"/>
  <c r="P67" i="2"/>
  <c r="K66" i="2"/>
  <c r="K64" i="2"/>
  <c r="M64" i="2"/>
  <c r="P57" i="2"/>
  <c r="K42" i="2"/>
  <c r="P42" i="2"/>
  <c r="K39" i="2"/>
  <c r="M39" i="2"/>
  <c r="K37" i="2"/>
  <c r="P37" i="2"/>
  <c r="K35" i="2"/>
  <c r="K25" i="2"/>
  <c r="P25" i="2"/>
  <c r="K17" i="2"/>
  <c r="P17" i="2"/>
  <c r="K16" i="2"/>
  <c r="K13" i="2"/>
  <c r="M13" i="2"/>
  <c r="K11" i="2"/>
  <c r="K9" i="2"/>
  <c r="P9" i="2"/>
  <c r="K5" i="2"/>
  <c r="P5" i="2"/>
  <c r="R2" i="2"/>
  <c r="K74" i="2"/>
  <c r="P74" i="2"/>
  <c r="K55" i="2"/>
  <c r="P55" i="2"/>
  <c r="P64" i="2"/>
  <c r="K91" i="2"/>
  <c r="M134" i="2"/>
  <c r="K36" i="2"/>
  <c r="P36" i="2"/>
  <c r="K46" i="2"/>
  <c r="M46" i="2"/>
  <c r="K52" i="2"/>
  <c r="P52" i="2"/>
  <c r="P81" i="2"/>
  <c r="K104" i="2"/>
  <c r="P104" i="2"/>
  <c r="K116" i="2"/>
  <c r="P116" i="2"/>
  <c r="M78" i="2"/>
  <c r="K86" i="2"/>
  <c r="P86" i="2"/>
  <c r="K106" i="2"/>
  <c r="P106" i="2"/>
  <c r="K123" i="2"/>
  <c r="P123" i="2"/>
  <c r="K44" i="2"/>
  <c r="P44" i="2"/>
  <c r="K79" i="2"/>
  <c r="P79" i="2"/>
  <c r="K99" i="2"/>
  <c r="P99" i="2"/>
  <c r="K111" i="2"/>
  <c r="P111" i="2"/>
  <c r="K114" i="2"/>
  <c r="P114" i="2"/>
  <c r="M5" i="2"/>
  <c r="K94" i="2"/>
  <c r="P94" i="2"/>
  <c r="K2" i="2"/>
  <c r="P2" i="2"/>
  <c r="K4" i="2"/>
  <c r="P4" i="2"/>
  <c r="K10" i="2"/>
  <c r="P10" i="2"/>
  <c r="P13" i="2"/>
  <c r="K38" i="2"/>
  <c r="P38" i="2"/>
  <c r="K61" i="2"/>
  <c r="P61" i="2"/>
  <c r="K63" i="2"/>
  <c r="P63" i="2"/>
  <c r="K76" i="2"/>
  <c r="P76" i="2"/>
  <c r="K93" i="2"/>
  <c r="P93" i="2"/>
  <c r="K110" i="2"/>
  <c r="P110" i="2"/>
  <c r="K120" i="2"/>
  <c r="K131" i="2"/>
  <c r="M143" i="2"/>
  <c r="K108" i="2"/>
  <c r="P108" i="2"/>
  <c r="P127" i="2"/>
  <c r="K133" i="2"/>
  <c r="P133" i="2"/>
  <c r="K119" i="2"/>
  <c r="P119" i="2"/>
  <c r="K142" i="2"/>
  <c r="P142" i="2"/>
  <c r="M10" i="2"/>
  <c r="M11" i="2"/>
  <c r="P11" i="2"/>
  <c r="M100" i="2"/>
  <c r="L55" i="3"/>
  <c r="P137" i="2"/>
  <c r="P146" i="2"/>
  <c r="P88" i="2"/>
  <c r="M88" i="2"/>
  <c r="K89" i="2"/>
  <c r="K132" i="2"/>
  <c r="M25" i="2"/>
  <c r="K75" i="2"/>
  <c r="K82" i="2"/>
  <c r="K6" i="2"/>
  <c r="P35" i="2"/>
  <c r="M35" i="2"/>
  <c r="M66" i="2"/>
  <c r="P66" i="2"/>
  <c r="K65" i="2"/>
  <c r="K15" i="2"/>
  <c r="P15" i="2"/>
  <c r="M16" i="2"/>
  <c r="P16" i="2"/>
  <c r="P103" i="2"/>
  <c r="K101" i="2"/>
  <c r="K138" i="2"/>
  <c r="M102" i="2"/>
  <c r="P102" i="2"/>
  <c r="K26" i="2"/>
  <c r="P39" i="2"/>
  <c r="K128" i="2"/>
  <c r="K149" i="2"/>
  <c r="K124" i="2"/>
  <c r="M42" i="2"/>
  <c r="M85" i="2"/>
  <c r="K98" i="2"/>
  <c r="K113" i="2"/>
  <c r="K18" i="2"/>
  <c r="P129" i="2"/>
  <c r="M129" i="2"/>
  <c r="K135" i="2"/>
  <c r="K43" i="2"/>
  <c r="K54" i="2"/>
  <c r="K62" i="2"/>
  <c r="M136" i="2"/>
  <c r="P136" i="2"/>
  <c r="K144" i="2"/>
  <c r="K3" i="2"/>
  <c r="M86" i="2"/>
  <c r="M80" i="2"/>
  <c r="P80" i="2"/>
  <c r="K40" i="2"/>
  <c r="K47" i="2"/>
  <c r="K59" i="2"/>
  <c r="K72" i="2"/>
  <c r="K121" i="2"/>
  <c r="K151" i="2"/>
  <c r="K150" i="2"/>
  <c r="K34" i="2"/>
  <c r="M37" i="2"/>
  <c r="K83" i="2"/>
  <c r="M90" i="2"/>
  <c r="K105" i="2"/>
  <c r="P105" i="2"/>
  <c r="K109" i="2"/>
  <c r="P109" i="2"/>
  <c r="K117" i="2"/>
  <c r="P117" i="2"/>
  <c r="K145" i="2"/>
  <c r="K8" i="2"/>
  <c r="K24" i="2"/>
  <c r="K41" i="2"/>
  <c r="K51" i="2"/>
  <c r="K60" i="2"/>
  <c r="K73" i="2"/>
  <c r="K122" i="2"/>
  <c r="M125" i="2"/>
  <c r="M106" i="2"/>
  <c r="M52" i="2"/>
  <c r="M79" i="2"/>
  <c r="M4" i="2"/>
  <c r="M74" i="2"/>
  <c r="M119" i="2"/>
  <c r="M114" i="2"/>
  <c r="M99" i="2"/>
  <c r="M133" i="2"/>
  <c r="M76" i="2"/>
  <c r="M93" i="2"/>
  <c r="M104" i="2"/>
  <c r="M61" i="2"/>
  <c r="M55" i="2"/>
  <c r="M123" i="2"/>
  <c r="M38" i="2"/>
  <c r="P46" i="2"/>
  <c r="M142" i="2"/>
  <c r="M2" i="2"/>
  <c r="M94" i="2"/>
  <c r="M108" i="2"/>
  <c r="P91" i="2"/>
  <c r="M91" i="2"/>
  <c r="M63" i="2"/>
  <c r="M44" i="2"/>
  <c r="M116" i="2"/>
  <c r="M36" i="2"/>
  <c r="M110" i="2"/>
  <c r="M131" i="2"/>
  <c r="P131" i="2"/>
  <c r="P120" i="2"/>
  <c r="M120" i="2"/>
  <c r="P3" i="2"/>
  <c r="M3" i="2"/>
  <c r="P40" i="2"/>
  <c r="M40" i="2"/>
  <c r="M145" i="2"/>
  <c r="P145" i="2"/>
  <c r="P65" i="2"/>
  <c r="M65" i="2"/>
  <c r="P122" i="2"/>
  <c r="M122" i="2"/>
  <c r="P18" i="2"/>
  <c r="M18" i="2"/>
  <c r="P113" i="2"/>
  <c r="M113" i="2"/>
  <c r="P26" i="2"/>
  <c r="M26" i="2"/>
  <c r="P62" i="2"/>
  <c r="M62" i="2"/>
  <c r="P75" i="2"/>
  <c r="M75" i="2"/>
  <c r="P89" i="2"/>
  <c r="M89" i="2"/>
  <c r="P83" i="2"/>
  <c r="M83" i="2"/>
  <c r="M151" i="2"/>
  <c r="P151" i="2"/>
  <c r="M72" i="2"/>
  <c r="P72" i="2"/>
  <c r="P144" i="2"/>
  <c r="M144" i="2"/>
  <c r="P98" i="2"/>
  <c r="M98" i="2"/>
  <c r="P34" i="2"/>
  <c r="M34" i="2"/>
  <c r="P6" i="2"/>
  <c r="M6" i="2"/>
  <c r="P150" i="2"/>
  <c r="M150" i="2"/>
  <c r="M51" i="2"/>
  <c r="P51" i="2"/>
  <c r="P41" i="2"/>
  <c r="M41" i="2"/>
  <c r="P132" i="2"/>
  <c r="M132" i="2"/>
  <c r="P149" i="2"/>
  <c r="M149" i="2"/>
  <c r="P135" i="2"/>
  <c r="M135" i="2"/>
  <c r="P128" i="2"/>
  <c r="M128" i="2"/>
  <c r="M73" i="2"/>
  <c r="P73" i="2"/>
  <c r="M60" i="2"/>
  <c r="P60" i="2"/>
  <c r="P82" i="2"/>
  <c r="M82" i="2"/>
  <c r="P138" i="2"/>
  <c r="M138" i="2"/>
  <c r="P121" i="2"/>
  <c r="M121" i="2"/>
  <c r="P54" i="2"/>
  <c r="M54" i="2"/>
  <c r="P101" i="2"/>
  <c r="M101" i="2"/>
  <c r="P24" i="2"/>
  <c r="M24" i="2"/>
  <c r="M59" i="2"/>
  <c r="P59" i="2"/>
  <c r="P43" i="2"/>
  <c r="M43" i="2"/>
  <c r="P124" i="2"/>
  <c r="M124" i="2"/>
  <c r="M8" i="2"/>
  <c r="P8" i="2"/>
  <c r="M47" i="2"/>
  <c r="P47" i="2"/>
  <c r="P152" i="2"/>
  <c r="M152" i="2"/>
  <c r="R152" i="2"/>
  <c r="R155" i="2"/>
</calcChain>
</file>

<file path=xl/sharedStrings.xml><?xml version="1.0" encoding="utf-8"?>
<sst xmlns="http://schemas.openxmlformats.org/spreadsheetml/2006/main" count="1206" uniqueCount="545">
  <si>
    <t>This document was exported from Numbers. Each table was converted to an Excel worksheet. All other objects on each Numbers sheet were placed on separate worksheets. Please be aware that formula calculations may differ in Excel.</t>
  </si>
  <si>
    <t>Numbers Sheet Name</t>
  </si>
  <si>
    <t>Numbers Table Name</t>
  </si>
  <si>
    <t>Excel Worksheet Name</t>
  </si>
  <si>
    <t>STOCK</t>
  </si>
  <si>
    <t>Table 1</t>
  </si>
  <si>
    <t>GROUP</t>
  </si>
  <si>
    <t>ITEM</t>
  </si>
  <si>
    <t>DATA</t>
  </si>
  <si>
    <t>TYPE</t>
  </si>
  <si>
    <t>STK</t>
  </si>
  <si>
    <t>IN</t>
  </si>
  <si>
    <t>OUT</t>
  </si>
  <si>
    <t>BALANCE</t>
  </si>
  <si>
    <t>PRICE</t>
  </si>
  <si>
    <t>VALUE</t>
  </si>
  <si>
    <t>REMARKS</t>
  </si>
  <si>
    <t>BLUETOOTH</t>
  </si>
  <si>
    <t>HC 05</t>
  </si>
  <si>
    <t>BLUE TOOTH</t>
  </si>
  <si>
    <t>BUG</t>
  </si>
  <si>
    <t>1X40 ST</t>
  </si>
  <si>
    <t>2X40 L</t>
  </si>
  <si>
    <t>2X40 ST</t>
  </si>
  <si>
    <t>BUG-BOX 14 X2</t>
  </si>
  <si>
    <t>BOX TYPE</t>
  </si>
  <si>
    <t>RAJIB</t>
  </si>
  <si>
    <t>BUZZER</t>
  </si>
  <si>
    <t>PCB MOUNTED</t>
  </si>
  <si>
    <t>CAP</t>
  </si>
  <si>
    <t>MOV</t>
  </si>
  <si>
    <t>07/25V</t>
  </si>
  <si>
    <t>2200/25</t>
  </si>
  <si>
    <t>aecon</t>
  </si>
  <si>
    <t>AEC-22 PF</t>
  </si>
  <si>
    <t>22</t>
  </si>
  <si>
    <t>100/16</t>
  </si>
  <si>
    <t>1000/25</t>
  </si>
  <si>
    <t>AECON</t>
  </si>
  <si>
    <t>1000/16</t>
  </si>
  <si>
    <t>0603</t>
  </si>
  <si>
    <t>11NF/50V</t>
  </si>
  <si>
    <t>SMD VERSION</t>
  </si>
  <si>
    <t>MILER</t>
  </si>
  <si>
    <t>104 DEEP</t>
  </si>
  <si>
    <t>MILER 104</t>
  </si>
  <si>
    <t>MILER-SMD</t>
  </si>
  <si>
    <t>104 SMD</t>
  </si>
  <si>
    <t>470/16</t>
  </si>
  <si>
    <t>105 DEGREE</t>
  </si>
  <si>
    <t>106</t>
  </si>
  <si>
    <t>CAP-SMD 102</t>
  </si>
  <si>
    <t>102</t>
  </si>
  <si>
    <t>CLEANER</t>
  </si>
  <si>
    <t>CONINS</t>
  </si>
  <si>
    <t>ELCLEAN</t>
  </si>
  <si>
    <t>CONN PRC</t>
  </si>
  <si>
    <t>9 PIN MALE</t>
  </si>
  <si>
    <t xml:space="preserve">MALE </t>
  </si>
  <si>
    <t>9 PIN PRC</t>
  </si>
  <si>
    <t>9 PIN FEMALE</t>
  </si>
  <si>
    <t>FEMALE</t>
  </si>
  <si>
    <t xml:space="preserve">NEW PRC </t>
  </si>
  <si>
    <t>4 WIRE POLE</t>
  </si>
  <si>
    <t>100 CM</t>
  </si>
  <si>
    <t>4 WIREPNL</t>
  </si>
  <si>
    <t>45 CM</t>
  </si>
  <si>
    <t>NEW PRC 2515</t>
  </si>
  <si>
    <t>4 PIN ST</t>
  </si>
  <si>
    <t>MALE</t>
  </si>
  <si>
    <t>4 PIN L</t>
  </si>
  <si>
    <t>CRISTEL</t>
  </si>
  <si>
    <t>8 MHZ</t>
  </si>
  <si>
    <t>16 MHZ</t>
  </si>
  <si>
    <t>22 MHZ</t>
  </si>
  <si>
    <t>CONN-FML</t>
  </si>
  <si>
    <t>5 PIN</t>
  </si>
  <si>
    <t>2 PIN</t>
  </si>
  <si>
    <t>3 PIN</t>
  </si>
  <si>
    <t xml:space="preserve"> </t>
  </si>
  <si>
    <t>4 PIN</t>
  </si>
  <si>
    <t>6 PIN CPU</t>
  </si>
  <si>
    <t>6 pin cpu</t>
  </si>
  <si>
    <t xml:space="preserve">   </t>
  </si>
  <si>
    <t>6 PIN 2510</t>
  </si>
  <si>
    <t>6 PIN</t>
  </si>
  <si>
    <t>CONN-M/F</t>
  </si>
  <si>
    <t>14 PIN FRC</t>
  </si>
  <si>
    <t>FRC</t>
  </si>
  <si>
    <t>14 PIN M/F</t>
  </si>
  <si>
    <t>??????</t>
  </si>
  <si>
    <t>CONN-MALE</t>
  </si>
  <si>
    <t>TAJ</t>
  </si>
  <si>
    <t>2 PIN PBT</t>
  </si>
  <si>
    <t>2.5 PITCH</t>
  </si>
  <si>
    <t>CONNECTOR</t>
  </si>
  <si>
    <t>2510-6 PIN</t>
  </si>
  <si>
    <t>2510-2 PIN</t>
  </si>
  <si>
    <t>2510-3 PIN</t>
  </si>
  <si>
    <t>2510-5 PIN</t>
  </si>
  <si>
    <t>CPU 6 PIN</t>
  </si>
  <si>
    <t>MALE-CPU</t>
  </si>
  <si>
    <t>CONN-RS232</t>
  </si>
  <si>
    <t>RS232.</t>
  </si>
  <si>
    <t>9 PIN D</t>
  </si>
  <si>
    <t>DIOD</t>
  </si>
  <si>
    <t>DIODE</t>
  </si>
  <si>
    <t>DIOD 5408</t>
  </si>
  <si>
    <t>ZENER</t>
  </si>
  <si>
    <t>HORNBY</t>
  </si>
  <si>
    <t>M 7 F</t>
  </si>
  <si>
    <t>BRIDGE</t>
  </si>
  <si>
    <t>MB10F MMD</t>
  </si>
  <si>
    <t>SS-14</t>
  </si>
  <si>
    <t>18v/1w</t>
  </si>
  <si>
    <t>5V ZENER</t>
  </si>
  <si>
    <t>5V</t>
  </si>
  <si>
    <t>DOM</t>
  </si>
  <si>
    <t>DP FND</t>
  </si>
  <si>
    <t>SEGMENT .8</t>
  </si>
  <si>
    <t>.8 GRN 1X1</t>
  </si>
  <si>
    <t>SEGMENT</t>
  </si>
  <si>
    <t>SEGMENT 0.5</t>
  </si>
  <si>
    <t>.5 GRN 1X1</t>
  </si>
  <si>
    <t>.5 RED 1X1</t>
  </si>
  <si>
    <t>DP 3/1</t>
  </si>
  <si>
    <t>RED.8</t>
  </si>
  <si>
    <t>3X1</t>
  </si>
  <si>
    <t>GREEN .8</t>
  </si>
  <si>
    <t>GREEN.56</t>
  </si>
  <si>
    <t>DP FND CC</t>
  </si>
  <si>
    <t>SEGMENT .56-CC</t>
  </si>
  <si>
    <t>.5 GRN</t>
  </si>
  <si>
    <t>NEW PRC</t>
  </si>
  <si>
    <t>FLUX-SOLDER</t>
  </si>
  <si>
    <t>ICM</t>
  </si>
  <si>
    <t>FLUX</t>
  </si>
  <si>
    <t>FRC CABLE</t>
  </si>
  <si>
    <t>14 PIN</t>
  </si>
  <si>
    <t>DP CABLE</t>
  </si>
  <si>
    <t>HEAT SHINK BIG</t>
  </si>
  <si>
    <t>HEATSINK</t>
  </si>
  <si>
    <t>BIG</t>
  </si>
  <si>
    <t>HEAT SHINK.SML</t>
  </si>
  <si>
    <t>SMALL</t>
  </si>
  <si>
    <t>IC</t>
  </si>
  <si>
    <t>24CO2</t>
  </si>
  <si>
    <t>ATMEL</t>
  </si>
  <si>
    <t>5460</t>
  </si>
  <si>
    <t>IC BD 882</t>
  </si>
  <si>
    <t>BD 882</t>
  </si>
  <si>
    <t>eprom 052</t>
  </si>
  <si>
    <t>78E052D</t>
  </si>
  <si>
    <t>IC FR 5460</t>
  </si>
  <si>
    <t>IC IMPEX</t>
  </si>
  <si>
    <t>BD 140</t>
  </si>
  <si>
    <t>IC ADC 5460</t>
  </si>
  <si>
    <t>CS 5460</t>
  </si>
  <si>
    <t>N79E352 RADG</t>
  </si>
  <si>
    <t>EPROM</t>
  </si>
  <si>
    <t>800 RESI</t>
  </si>
  <si>
    <t>74HCT 138</t>
  </si>
  <si>
    <t>PRC  DP</t>
  </si>
  <si>
    <t>IC 138</t>
  </si>
  <si>
    <t>USB IC</t>
  </si>
  <si>
    <t>IC RS 232</t>
  </si>
  <si>
    <t>RS232</t>
  </si>
  <si>
    <t>MAX</t>
  </si>
  <si>
    <t>MM32F0141C4P</t>
  </si>
  <si>
    <t>PRC NEW</t>
  </si>
  <si>
    <t>SMD</t>
  </si>
  <si>
    <t>TM 1637</t>
  </si>
  <si>
    <t>NOVA-SMD</t>
  </si>
  <si>
    <t>TM 1640</t>
  </si>
  <si>
    <t>MG82F6D17AL20</t>
  </si>
  <si>
    <t>MEGAWIN</t>
  </si>
  <si>
    <t>20 PIN SMD</t>
  </si>
  <si>
    <t>6500 RESI</t>
  </si>
  <si>
    <t>MG82F6D17AE20</t>
  </si>
  <si>
    <t>20 PIN DIP</t>
  </si>
  <si>
    <t>2640 resi</t>
  </si>
  <si>
    <t>2500 RESI</t>
  </si>
  <si>
    <t>HX710ADC</t>
  </si>
  <si>
    <t>HX710-DIP</t>
  </si>
  <si>
    <t>1K RESI</t>
  </si>
  <si>
    <t>ADC</t>
  </si>
  <si>
    <t>IC LM 7808</t>
  </si>
  <si>
    <t>LM7808</t>
  </si>
  <si>
    <t>CHINIES</t>
  </si>
  <si>
    <t>IC7805</t>
  </si>
  <si>
    <t>IC 7805</t>
  </si>
  <si>
    <t>4148</t>
  </si>
  <si>
    <t>NON USE</t>
  </si>
  <si>
    <t>MM32G0001A6TA</t>
  </si>
  <si>
    <t>MINI PCB 8pin</t>
  </si>
  <si>
    <t>JUNCTION</t>
  </si>
  <si>
    <t>TRIMPOT-104</t>
  </si>
  <si>
    <t>3296W100K</t>
  </si>
  <si>
    <t>chinies.good.qlt</t>
  </si>
  <si>
    <t>PBT 2 PIN</t>
  </si>
  <si>
    <t>PBT3 PIN</t>
  </si>
  <si>
    <t>LAQUARE</t>
  </si>
  <si>
    <t>BOTTLE</t>
  </si>
  <si>
    <t>LED</t>
  </si>
  <si>
    <t>SINGLE</t>
  </si>
  <si>
    <t>3 PIN.</t>
  </si>
  <si>
    <t>DUEL</t>
  </si>
  <si>
    <t>REG</t>
  </si>
  <si>
    <t>10K</t>
  </si>
  <si>
    <t>DEEP</t>
  </si>
  <si>
    <t>10E</t>
  </si>
  <si>
    <t>1K</t>
  </si>
  <si>
    <t>1E/1W</t>
  </si>
  <si>
    <t>CFR-DIP</t>
  </si>
  <si>
    <t>0E</t>
  </si>
  <si>
    <t>OE</t>
  </si>
  <si>
    <t>100E</t>
  </si>
  <si>
    <t>56E</t>
  </si>
  <si>
    <t xml:space="preserve">                                                                                                                                                                                                                                                                                                                                                                                                                                                                                                                                                                                                                                                                                                                                                                                                                                                                                                                                                                                                                                                                                                                                                                                                                                                                                                                                                                                                                                                                                                                                                                                                                                  </t>
  </si>
  <si>
    <t>100K</t>
  </si>
  <si>
    <t>1.8K</t>
  </si>
  <si>
    <t>CFR</t>
  </si>
  <si>
    <t>360E</t>
  </si>
  <si>
    <t>MFR</t>
  </si>
  <si>
    <t>330K</t>
  </si>
  <si>
    <t>2.2K</t>
  </si>
  <si>
    <t>2K2</t>
  </si>
  <si>
    <t>15K</t>
  </si>
  <si>
    <t>NIL</t>
  </si>
  <si>
    <t>22K</t>
  </si>
  <si>
    <t>3K3</t>
  </si>
  <si>
    <t>SCREW</t>
  </si>
  <si>
    <t>SCREW WALE</t>
  </si>
  <si>
    <t>ROMA.</t>
  </si>
  <si>
    <t>M2X6</t>
  </si>
  <si>
    <t>SELF TAPPING</t>
  </si>
  <si>
    <t>3X6</t>
  </si>
  <si>
    <t>SOCKET</t>
  </si>
  <si>
    <t>FUSE HOLDER</t>
  </si>
  <si>
    <t>FUZE</t>
  </si>
  <si>
    <t>BOX</t>
  </si>
  <si>
    <t>SOCKET 40 PIN</t>
  </si>
  <si>
    <t>40 PIN</t>
  </si>
  <si>
    <t>20 PIN</t>
  </si>
  <si>
    <t>8 PIN IC</t>
  </si>
  <si>
    <t>8 PIN</t>
  </si>
  <si>
    <t>SOLDER</t>
  </si>
  <si>
    <t>WHIRE</t>
  </si>
  <si>
    <t>WIRE REEL</t>
  </si>
  <si>
    <t>reel .500</t>
  </si>
  <si>
    <t>21 RESI</t>
  </si>
  <si>
    <t>TRANSISTER</t>
  </si>
  <si>
    <t>BD140</t>
  </si>
  <si>
    <t>LM 317</t>
  </si>
  <si>
    <t>LM 317-ACC</t>
  </si>
  <si>
    <t>TRANSISTOR</t>
  </si>
  <si>
    <t>LM 336.2.5V</t>
  </si>
  <si>
    <t>TL431</t>
  </si>
  <si>
    <t>2950 5V</t>
  </si>
  <si>
    <t>5v</t>
  </si>
  <si>
    <t>2950 3.3V</t>
  </si>
  <si>
    <t>LM2950</t>
  </si>
  <si>
    <t>3.3V</t>
  </si>
  <si>
    <t>BC557</t>
  </si>
  <si>
    <t>IC IMPAX</t>
  </si>
  <si>
    <t>LM 358 DIP</t>
  </si>
  <si>
    <t>USB</t>
  </si>
  <si>
    <t>COMPONENTS</t>
  </si>
  <si>
    <t>COMPONT</t>
  </si>
  <si>
    <t>BLANK PCB</t>
  </si>
  <si>
    <t>GRAND TOTAL</t>
  </si>
  <si>
    <t>JWEL</t>
  </si>
  <si>
    <t>TYP</t>
  </si>
  <si>
    <t>CODE</t>
  </si>
  <si>
    <t>MAKE</t>
  </si>
  <si>
    <t>GODN</t>
  </si>
  <si>
    <t>PUR</t>
  </si>
  <si>
    <t>RATE</t>
  </si>
  <si>
    <t>DP/KEY</t>
  </si>
  <si>
    <t>OK KEY PCB</t>
  </si>
  <si>
    <t>RED</t>
  </si>
  <si>
    <t>GREEN</t>
  </si>
  <si>
    <t>MB</t>
  </si>
  <si>
    <t>DP.EXT</t>
  </si>
  <si>
    <t>OK DP ONLY</t>
  </si>
  <si>
    <t>BTBK</t>
  </si>
  <si>
    <t>OK BKBT</t>
  </si>
  <si>
    <t>PCB.BLANK</t>
  </si>
  <si>
    <t>SU-10910</t>
  </si>
  <si>
    <t>KEY</t>
  </si>
  <si>
    <t>SU 14074</t>
  </si>
  <si>
    <t>SU-10911</t>
  </si>
  <si>
    <t>DP</t>
  </si>
  <si>
    <t>SU-10888</t>
  </si>
  <si>
    <t>C10/63</t>
  </si>
  <si>
    <t>KELTRON</t>
  </si>
  <si>
    <t>10MFD/16</t>
  </si>
  <si>
    <t>AVX</t>
  </si>
  <si>
    <t>TENT</t>
  </si>
  <si>
    <t>474J100V</t>
  </si>
  <si>
    <t>DESAI</t>
  </si>
  <si>
    <t>1J100V</t>
  </si>
  <si>
    <t>47MFD/25</t>
  </si>
  <si>
    <t>100MFD/16</t>
  </si>
  <si>
    <t>2E2V MOR</t>
  </si>
  <si>
    <t>SUPERCOM</t>
  </si>
  <si>
    <t>104 MILER</t>
  </si>
  <si>
    <t>10ME</t>
  </si>
  <si>
    <t>47E..QTR 1/8</t>
  </si>
  <si>
    <t>IMP</t>
  </si>
  <si>
    <t>2.2K QTR  1/8</t>
  </si>
  <si>
    <t>NETWORK 103</t>
  </si>
  <si>
    <t>9 PIN</t>
  </si>
  <si>
    <t>5V1</t>
  </si>
  <si>
    <t>NXP</t>
  </si>
  <si>
    <t>TRNS</t>
  </si>
  <si>
    <t>BC547</t>
  </si>
  <si>
    <t>CDIL</t>
  </si>
  <si>
    <t>C9014-FSC</t>
  </si>
  <si>
    <t>HT-7550-1HALTEK</t>
  </si>
  <si>
    <t>KAESCOM</t>
  </si>
  <si>
    <t>S8550 FSC</t>
  </si>
  <si>
    <t>4.9152-MEC</t>
  </si>
  <si>
    <t>3 MM</t>
  </si>
  <si>
    <t>3MM</t>
  </si>
  <si>
    <t>YELLOW</t>
  </si>
  <si>
    <t>9 PIN L TYP</t>
  </si>
  <si>
    <t>D TYP</t>
  </si>
  <si>
    <t>RED CC</t>
  </si>
  <si>
    <t>LT543</t>
  </si>
  <si>
    <t>GREEN CC</t>
  </si>
  <si>
    <t>M/F</t>
  </si>
  <si>
    <t>MALE BOX</t>
  </si>
  <si>
    <t>SWITCH</t>
  </si>
  <si>
    <t>DONGEL</t>
  </si>
  <si>
    <t>ADAPTOR</t>
  </si>
  <si>
    <t>JACK</t>
  </si>
  <si>
    <t>ADC 1232</t>
  </si>
  <si>
    <t>TEXAS</t>
  </si>
  <si>
    <t>74HC595</t>
  </si>
  <si>
    <t>ULN 2003</t>
  </si>
  <si>
    <t>TOSHIBA</t>
  </si>
  <si>
    <t>ADABTOR</t>
  </si>
  <si>
    <t>KEY PAD 6 KEY</t>
  </si>
  <si>
    <t>SU 12053</t>
  </si>
  <si>
    <t>OK</t>
  </si>
  <si>
    <t>TOTAL</t>
  </si>
  <si>
    <t>BLANK PCB.</t>
  </si>
  <si>
    <t>PCB Number</t>
  </si>
  <si>
    <t>Name</t>
  </si>
  <si>
    <t>Qty</t>
  </si>
  <si>
    <t>5460 MB.SS</t>
  </si>
  <si>
    <t>4 key key pad</t>
  </si>
  <si>
    <t>DISPLAY .8 (1X1)EESAA</t>
  </si>
  <si>
    <t>5460 SAVER-PTH</t>
  </si>
  <si>
    <t>JUNCTION.4.JUMPER</t>
  </si>
  <si>
    <t>PRC PNL 655</t>
  </si>
  <si>
    <t>PRC PNK.556 GENERAL</t>
  </si>
  <si>
    <t>RS232 9 PIN CONN</t>
  </si>
  <si>
    <t>CONNECTOR CARD</t>
  </si>
  <si>
    <t>PRC IND PNL SQ.PTH</t>
  </si>
  <si>
    <t>PRC.PNL.556.MANJU</t>
  </si>
  <si>
    <t>PRC KEYPAD PCB</t>
  </si>
  <si>
    <t>PRC.PNL.TRANS 2</t>
  </si>
  <si>
    <t>PRC POLE.PCB</t>
  </si>
  <si>
    <t>PRC MB</t>
  </si>
  <si>
    <t>JUNCTION4L TO 8L.</t>
  </si>
  <si>
    <t>Kapil Back Panel</t>
  </si>
  <si>
    <t>PRC KEY SIDE CONN</t>
  </si>
  <si>
    <t>HANGING.8 FND</t>
  </si>
  <si>
    <t>HANG..56.P/S.ZEN.DP C</t>
  </si>
  <si>
    <t>POINT HANG-YES</t>
  </si>
  <si>
    <t>charger 5v.YES YES</t>
  </si>
  <si>
    <t>PRC.PNL.Z+AXPERT</t>
  </si>
  <si>
    <t>PRC POLE.XPERT.EXPO</t>
  </si>
  <si>
    <t>PRC .KEY.SQ.SIDE CON</t>
  </si>
  <si>
    <t>ht 108 smd</t>
  </si>
  <si>
    <t>Rafiq Panel 655</t>
  </si>
  <si>
    <t>CHRGER.IC-358.SAVER</t>
  </si>
  <si>
    <t>EXPO.2 TRX.DSNPTH.</t>
  </si>
  <si>
    <t>NEW PRC MB</t>
  </si>
  <si>
    <t>CHINA</t>
  </si>
  <si>
    <t>SFL-MAIN MB</t>
  </si>
  <si>
    <t>S99-DSPTH-BALAJI-</t>
  </si>
  <si>
    <t>THK-NANI</t>
  </si>
  <si>
    <t>NOVA-HANG .56</t>
  </si>
  <si>
    <t>NOVA HANG .8</t>
  </si>
  <si>
    <t>MINI-4V</t>
  </si>
  <si>
    <t>HANG-SFL</t>
  </si>
  <si>
    <t>PRC POL RED</t>
  </si>
  <si>
    <t>PRC POL GRN</t>
  </si>
  <si>
    <t>INDICATOR GRN</t>
  </si>
  <si>
    <t>MINI-GNS</t>
  </si>
  <si>
    <t>UNITY</t>
  </si>
  <si>
    <t>BALAJI S99 DS</t>
  </si>
  <si>
    <t>HANHING-POINT</t>
  </si>
  <si>
    <t xml:space="preserve">CHARGER-7808 </t>
  </si>
  <si>
    <t>NOVA DP 4 WIRE GRN</t>
  </si>
  <si>
    <t>NOVA DP 4 WIRE RED</t>
  </si>
  <si>
    <t>DP  8484 GREEN</t>
  </si>
  <si>
    <t>DP  8484 RED</t>
  </si>
  <si>
    <t>SAVER CHARGER</t>
  </si>
  <si>
    <t>THAKOR MOTI</t>
  </si>
  <si>
    <t>PRC PNL 10812-GRN</t>
  </si>
  <si>
    <t>PRC PNL 10872 GRN</t>
  </si>
  <si>
    <t>PRC PNL 14372 GRN</t>
  </si>
  <si>
    <t>PRC PNL 14372 RED</t>
  </si>
  <si>
    <t>PRC PNL 30087 GRN</t>
  </si>
  <si>
    <t>PRC PNL 30087 RED</t>
  </si>
  <si>
    <t xml:space="preserve">PRC PNL 10872 RED </t>
  </si>
  <si>
    <t>SFL MB</t>
  </si>
  <si>
    <t xml:space="preserve">OK </t>
  </si>
  <si>
    <t>SFL S99</t>
  </si>
  <si>
    <t>NEW PRC INDICATER.PNL</t>
  </si>
  <si>
    <t>NEW PRC POLE 41061</t>
  </si>
  <si>
    <t>NEW PRC PNL  41060..655</t>
  </si>
  <si>
    <t>NEW PRC PNL-41059-556</t>
  </si>
  <si>
    <t>JUNCTION.10015 BIG</t>
  </si>
  <si>
    <t>SU 29076.EXPO POLE.RED</t>
  </si>
  <si>
    <t>SU 29076.EXPO POLE.GRN</t>
  </si>
  <si>
    <t>NOVA+USB</t>
  </si>
  <si>
    <t>PCB+SMD</t>
  </si>
  <si>
    <t>NANI THK</t>
  </si>
  <si>
    <t>MINI</t>
  </si>
  <si>
    <t>NOVA HANG .56</t>
  </si>
  <si>
    <t>PRC NEW MB</t>
  </si>
  <si>
    <t>470/10</t>
  </si>
  <si>
    <t>PARTS</t>
  </si>
  <si>
    <t>QTY</t>
  </si>
  <si>
    <t>1E-1V</t>
  </si>
  <si>
    <t>MB10F SMD</t>
  </si>
  <si>
    <t>1637-    SMD</t>
  </si>
  <si>
    <t>MEGA 20.DIP</t>
  </si>
  <si>
    <t>LM 7550</t>
  </si>
  <si>
    <t>HEAT SHINK</t>
  </si>
  <si>
    <t>104PF-DIP</t>
  </si>
  <si>
    <t>3 PIN 2510</t>
  </si>
  <si>
    <t>5 PIN 2510</t>
  </si>
  <si>
    <t>BURG STRIP</t>
  </si>
  <si>
    <t>PCB PTH</t>
  </si>
  <si>
    <t>ASSEMBLY</t>
  </si>
  <si>
    <t>10 K REG</t>
  </si>
  <si>
    <t>RC PNL RED 10812</t>
  </si>
  <si>
    <t>PRC PNL RED 14241</t>
  </si>
  <si>
    <t>PRC PNL RED 29062</t>
  </si>
  <si>
    <t>352.PRC.JEW</t>
  </si>
  <si>
    <t>24C064</t>
  </si>
  <si>
    <t>NEW PRC PNL DELTA</t>
  </si>
  <si>
    <t>KEY PAD FULL</t>
  </si>
  <si>
    <t>3 PIN LED/WHIRE</t>
  </si>
  <si>
    <t>CR 2402 3.3</t>
  </si>
  <si>
    <t>CR 2402 5.0</t>
  </si>
  <si>
    <t>COMBO</t>
  </si>
  <si>
    <t>prc pole-bhopal</t>
  </si>
  <si>
    <t>105</t>
  </si>
  <si>
    <t>THK MOTI.</t>
  </si>
  <si>
    <t>GANESH/SB</t>
  </si>
  <si>
    <t>7550.3.3</t>
  </si>
  <si>
    <t>7550-5v</t>
  </si>
  <si>
    <t xml:space="preserve">                                 </t>
  </si>
  <si>
    <t>7711 SMD.ADC</t>
  </si>
  <si>
    <t>HX710.SMD.CT7133</t>
  </si>
  <si>
    <t>S-99 SAFAL TYPE</t>
  </si>
  <si>
    <t>NOVA NEW POS</t>
  </si>
  <si>
    <t>BALAJI S-99</t>
  </si>
  <si>
    <t>THK MOTI MEGAWIN</t>
  </si>
  <si>
    <t>THK MOTI-GANESH</t>
  </si>
  <si>
    <t>HX 710-SMD</t>
  </si>
  <si>
    <t>CPU 2 PIN</t>
  </si>
  <si>
    <t>MALE CPU</t>
  </si>
  <si>
    <t>CPU 4 PIN</t>
  </si>
  <si>
    <t>47 E</t>
  </si>
  <si>
    <t>2510-4 PIN</t>
  </si>
  <si>
    <t>SU-45021..MAHARASTRA PNL.655</t>
  </si>
  <si>
    <t>WCH 340 N</t>
  </si>
  <si>
    <t>CH 340</t>
  </si>
  <si>
    <t>RS232 PCB</t>
  </si>
  <si>
    <t>INDICATER FRN SQ PNL/POLE.PTH</t>
  </si>
  <si>
    <t>SAFAL.GNS</t>
  </si>
  <si>
    <t>T3 .8 HANGING.VENKATA.PTH</t>
  </si>
  <si>
    <t>KEY PD.SQ.-WEIGH TECH-GONDIYA</t>
  </si>
  <si>
    <t>NEW PRC PNL.45040</t>
  </si>
  <si>
    <t>4k7</t>
  </si>
  <si>
    <t>DIP</t>
  </si>
  <si>
    <t>100/25</t>
  </si>
  <si>
    <t>DIP-MFR</t>
  </si>
  <si>
    <t>S-99..SFL</t>
  </si>
  <si>
    <t>4 WIRE EXT DP..S/S</t>
  </si>
  <si>
    <t>24 C 64.(PRC MEMORY)</t>
  </si>
  <si>
    <t>1400-ST..</t>
  </si>
  <si>
    <t>4148-DIP</t>
  </si>
  <si>
    <t>4148-SMD</t>
  </si>
  <si>
    <t>IPA BT BK</t>
  </si>
  <si>
    <t>LM 336</t>
  </si>
  <si>
    <t>NOVA +USB</t>
  </si>
  <si>
    <t>PRC NEW PNK 655 RED</t>
  </si>
  <si>
    <t>PRC NEW PNL 655 GRN</t>
  </si>
  <si>
    <t xml:space="preserve">PRC NEW POL GRN </t>
  </si>
  <si>
    <t>PRC NEW POL RED</t>
  </si>
  <si>
    <t>PRC NEW INDICATER POL 45021 GRN</t>
  </si>
  <si>
    <t>PRC NEW INDICATER POL 45021 RED</t>
  </si>
  <si>
    <t>NOVA HANG .56 GRN 6V</t>
  </si>
  <si>
    <t>NOVA HANG .56 RED 6V</t>
  </si>
  <si>
    <t>MINI 6V</t>
  </si>
  <si>
    <t>PRC KEY PAD</t>
  </si>
  <si>
    <t>NOV HANG .56 GRN..4V</t>
  </si>
  <si>
    <t>NANI THK 4V</t>
  </si>
  <si>
    <t>NANI THK 6V</t>
  </si>
  <si>
    <t>7.4.26</t>
  </si>
  <si>
    <t>STICK.KG</t>
  </si>
  <si>
    <t>PRC KEY SQ.SFL TYPE</t>
  </si>
  <si>
    <t>KEY PAD SIDE CONNECTOR.4K</t>
  </si>
  <si>
    <t>DISPLAY.8(1X3)</t>
  </si>
  <si>
    <t>NOVA-POS</t>
  </si>
  <si>
    <t>.8(1x) dp green</t>
  </si>
  <si>
    <t xml:space="preserve">DISPLAY.JUMBO.1.5 INCH </t>
  </si>
  <si>
    <t>LM 7533-CHINA</t>
  </si>
  <si>
    <t>LM-7533-HT-ORIGINAL</t>
  </si>
  <si>
    <t>PO</t>
  </si>
  <si>
    <t>DP JUMBO FND</t>
  </si>
  <si>
    <t>CA</t>
  </si>
  <si>
    <t>1.5 INCH</t>
  </si>
  <si>
    <t>2 X 4.5</t>
  </si>
  <si>
    <t>MIN</t>
  </si>
  <si>
    <t>ORDER</t>
  </si>
  <si>
    <t>LS</t>
  </si>
  <si>
    <t>BAFNA</t>
  </si>
  <si>
    <t>dp .8(3x1)</t>
  </si>
  <si>
    <t>.8 HANG</t>
  </si>
  <si>
    <t>.8 (3X1) DP RED</t>
  </si>
  <si>
    <t xml:space="preserve">SU 30087 RAFIK </t>
  </si>
  <si>
    <t>IN2</t>
  </si>
  <si>
    <t>OUT3</t>
  </si>
  <si>
    <t>Column4</t>
  </si>
  <si>
    <t>PRICE5</t>
  </si>
  <si>
    <t>VALUE6</t>
  </si>
  <si>
    <t>PRICE7</t>
  </si>
  <si>
    <t>VALUE8</t>
  </si>
  <si>
    <t>BC-557</t>
  </si>
  <si>
    <t>DP GND CA</t>
  </si>
  <si>
    <t>1X1 WHIGHT</t>
  </si>
  <si>
    <t xml:space="preserve">28 PIN </t>
  </si>
  <si>
    <t>PIN</t>
  </si>
  <si>
    <t>CPU 3 PIN</t>
  </si>
  <si>
    <t>L</t>
  </si>
</sst>
</file>

<file path=xl/styles.xml><?xml version="1.0" encoding="utf-8"?>
<styleSheet xmlns="http://schemas.openxmlformats.org/spreadsheetml/2006/main" xmlns:mc="http://schemas.openxmlformats.org/markup-compatibility/2006" xmlns:x14ac="http://schemas.microsoft.com/office/spreadsheetml/2009/9/ac" mc:Ignorable="x14ac">
  <fonts count="17">
    <font>
      <sz val="10"/>
      <color indexed="8"/>
      <name val="Arial"/>
    </font>
    <font>
      <sz val="12"/>
      <color indexed="8"/>
      <name val="Arial"/>
      <family val="2"/>
    </font>
    <font>
      <sz val="14"/>
      <color indexed="8"/>
      <name val="Arial"/>
      <family val="2"/>
    </font>
    <font>
      <u/>
      <sz val="12"/>
      <color indexed="11"/>
      <name val="Arial"/>
      <family val="2"/>
    </font>
    <font>
      <b/>
      <sz val="10"/>
      <color indexed="8"/>
      <name val="Arial"/>
      <family val="2"/>
    </font>
    <font>
      <sz val="10"/>
      <color indexed="15"/>
      <name val="Arial"/>
      <family val="2"/>
    </font>
    <font>
      <b/>
      <sz val="10"/>
      <color indexed="16"/>
      <name val="Arial"/>
      <family val="2"/>
    </font>
    <font>
      <b/>
      <sz val="10"/>
      <color indexed="15"/>
      <name val="Arial"/>
      <family val="2"/>
    </font>
    <font>
      <b/>
      <sz val="10"/>
      <color indexed="17"/>
      <name val="Arial"/>
      <family val="2"/>
    </font>
    <font>
      <b/>
      <sz val="11"/>
      <color indexed="8"/>
      <name val="Helvetica Neue"/>
    </font>
    <font>
      <b/>
      <sz val="11"/>
      <color indexed="8"/>
      <name val="Arial"/>
      <family val="2"/>
    </font>
    <font>
      <sz val="10"/>
      <color rgb="FFFF0000"/>
      <name val="Arial"/>
      <family val="2"/>
    </font>
    <font>
      <sz val="10"/>
      <color indexed="8"/>
      <name val="Arial"/>
      <family val="2"/>
    </font>
    <font>
      <sz val="10"/>
      <color theme="1"/>
      <name val="Arial"/>
      <family val="2"/>
    </font>
    <font>
      <sz val="10"/>
      <color theme="0"/>
      <name val="Arial"/>
      <family val="2"/>
    </font>
    <font>
      <sz val="10"/>
      <name val="Arial"/>
      <family val="2"/>
    </font>
    <font>
      <b/>
      <sz val="10"/>
      <color rgb="FFFF0000"/>
      <name val="Arial"/>
      <family val="2"/>
    </font>
  </fonts>
  <fills count="12">
    <fill>
      <patternFill patternType="none"/>
    </fill>
    <fill>
      <patternFill patternType="gray125"/>
    </fill>
    <fill>
      <patternFill patternType="solid">
        <fgColor indexed="9"/>
        <bgColor auto="1"/>
      </patternFill>
    </fill>
    <fill>
      <patternFill patternType="solid">
        <fgColor indexed="10"/>
        <bgColor auto="1"/>
      </patternFill>
    </fill>
    <fill>
      <patternFill patternType="solid">
        <fgColor indexed="12"/>
        <bgColor auto="1"/>
      </patternFill>
    </fill>
    <fill>
      <patternFill patternType="solid">
        <fgColor indexed="13"/>
        <bgColor auto="1"/>
      </patternFill>
    </fill>
    <fill>
      <patternFill patternType="solid">
        <fgColor indexed="16"/>
        <bgColor auto="1"/>
      </patternFill>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indexed="12"/>
        <bgColor indexed="64"/>
      </patternFill>
    </fill>
  </fills>
  <borders count="33">
    <border>
      <left/>
      <right/>
      <top/>
      <bottom/>
      <diagonal/>
    </border>
    <border>
      <left style="thin">
        <color indexed="8"/>
      </left>
      <right style="thin">
        <color indexed="8"/>
      </right>
      <top style="thin">
        <color indexed="8"/>
      </top>
      <bottom style="thin">
        <color indexed="8"/>
      </bottom>
      <diagonal/>
    </border>
    <border>
      <left style="thin">
        <color indexed="8"/>
      </left>
      <right/>
      <top style="thin">
        <color indexed="14"/>
      </top>
      <bottom/>
      <diagonal/>
    </border>
    <border>
      <left/>
      <right/>
      <top style="thin">
        <color indexed="14"/>
      </top>
      <bottom/>
      <diagonal/>
    </border>
    <border>
      <left/>
      <right style="thin">
        <color indexed="14"/>
      </right>
      <top style="thin">
        <color indexed="14"/>
      </top>
      <bottom/>
      <diagonal/>
    </border>
    <border>
      <left style="thin">
        <color indexed="8"/>
      </left>
      <right/>
      <top/>
      <bottom/>
      <diagonal/>
    </border>
    <border>
      <left/>
      <right/>
      <top/>
      <bottom/>
      <diagonal/>
    </border>
    <border>
      <left/>
      <right style="thin">
        <color indexed="14"/>
      </right>
      <top/>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top style="thin">
        <color indexed="8"/>
      </top>
      <bottom style="thin">
        <color indexed="8"/>
      </bottom>
      <diagonal/>
    </border>
    <border>
      <left/>
      <right style="thin">
        <color indexed="8"/>
      </right>
      <top style="thin">
        <color indexed="8"/>
      </top>
      <bottom/>
      <diagonal/>
    </border>
    <border>
      <left style="thin">
        <color indexed="14"/>
      </left>
      <right style="thin">
        <color indexed="8"/>
      </right>
      <top/>
      <bottom/>
      <diagonal/>
    </border>
    <border>
      <left style="thin">
        <color indexed="8"/>
      </left>
      <right style="thin">
        <color indexed="8"/>
      </right>
      <top/>
      <bottom/>
      <diagonal/>
    </border>
    <border>
      <left/>
      <right style="thin">
        <color indexed="8"/>
      </right>
      <top/>
      <bottom/>
      <diagonal/>
    </border>
    <border>
      <left style="thin">
        <color indexed="14"/>
      </left>
      <right/>
      <top/>
      <bottom/>
      <diagonal/>
    </border>
    <border>
      <left style="thin">
        <color indexed="14"/>
      </left>
      <right/>
      <top/>
      <bottom style="thin">
        <color indexed="14"/>
      </bottom>
      <diagonal/>
    </border>
    <border>
      <left/>
      <right/>
      <top/>
      <bottom style="thin">
        <color indexed="14"/>
      </bottom>
      <diagonal/>
    </border>
    <border>
      <left/>
      <right style="thin">
        <color indexed="14"/>
      </right>
      <top/>
      <bottom style="thin">
        <color indexed="14"/>
      </bottom>
      <diagonal/>
    </border>
    <border>
      <left style="thin">
        <color indexed="8"/>
      </left>
      <right style="thin">
        <color indexed="14"/>
      </right>
      <top style="thin">
        <color indexed="14"/>
      </top>
      <bottom/>
      <diagonal/>
    </border>
    <border>
      <left style="thin">
        <color indexed="8"/>
      </left>
      <right style="thin">
        <color indexed="14"/>
      </right>
      <top/>
      <bottom/>
      <diagonal/>
    </border>
    <border>
      <left style="thin">
        <color indexed="8"/>
      </left>
      <right style="thin">
        <color indexed="8"/>
      </right>
      <top/>
      <bottom style="thin">
        <color indexed="8"/>
      </bottom>
      <diagonal/>
    </border>
    <border>
      <left style="thin">
        <color indexed="8"/>
      </left>
      <right style="thin">
        <color indexed="14"/>
      </right>
      <top/>
      <bottom style="thin">
        <color indexed="14"/>
      </bottom>
      <diagonal/>
    </border>
    <border>
      <left style="thin">
        <color indexed="14"/>
      </left>
      <right style="thin">
        <color indexed="14"/>
      </right>
      <top style="thin">
        <color indexed="14"/>
      </top>
      <bottom style="thin">
        <color indexed="14"/>
      </bottom>
      <diagonal/>
    </border>
    <border>
      <left style="thin">
        <color indexed="14"/>
      </left>
      <right/>
      <top style="thin">
        <color indexed="14"/>
      </top>
      <bottom style="thin">
        <color indexed="14"/>
      </bottom>
      <diagonal/>
    </border>
    <border>
      <left/>
      <right style="thin">
        <color indexed="14"/>
      </right>
      <top style="thin">
        <color indexed="14"/>
      </top>
      <bottom style="thin">
        <color indexed="14"/>
      </bottom>
      <diagonal/>
    </border>
    <border>
      <left style="thin">
        <color indexed="14"/>
      </left>
      <right/>
      <top style="thin">
        <color indexed="14"/>
      </top>
      <bottom/>
      <diagonal/>
    </border>
    <border>
      <left style="thin">
        <color indexed="14"/>
      </left>
      <right style="thin">
        <color indexed="14"/>
      </right>
      <top style="thin">
        <color indexed="14"/>
      </top>
      <bottom/>
      <diagonal/>
    </border>
    <border>
      <left style="thin">
        <color indexed="14"/>
      </left>
      <right style="thin">
        <color indexed="14"/>
      </right>
      <top/>
      <bottom style="thin">
        <color indexed="14"/>
      </bottom>
      <diagonal/>
    </border>
    <border>
      <left style="thin">
        <color indexed="14"/>
      </left>
      <right style="thin">
        <color indexed="14"/>
      </right>
      <top/>
      <bottom/>
      <diagonal/>
    </border>
    <border>
      <left/>
      <right style="thin">
        <color indexed="8"/>
      </right>
      <top style="thin">
        <color indexed="8"/>
      </top>
      <bottom style="thin">
        <color indexed="8"/>
      </bottom>
      <diagonal/>
    </border>
    <border>
      <left/>
      <right/>
      <top style="thin">
        <color indexed="14"/>
      </top>
      <bottom style="thin">
        <color indexed="14"/>
      </bottom>
      <diagonal/>
    </border>
  </borders>
  <cellStyleXfs count="1">
    <xf numFmtId="0" fontId="0" fillId="0" borderId="0" applyNumberFormat="0" applyFill="0" applyBorder="0" applyProtection="0"/>
  </cellStyleXfs>
  <cellXfs count="139">
    <xf numFmtId="0" fontId="0" fillId="0" borderId="0" xfId="0" applyFont="1" applyAlignment="1"/>
    <xf numFmtId="0" fontId="2" fillId="0" borderId="0" xfId="0" applyFont="1" applyAlignment="1">
      <alignment horizontal="left"/>
    </xf>
    <xf numFmtId="0" fontId="1" fillId="2" borderId="0" xfId="0" applyFont="1" applyFill="1" applyAlignment="1">
      <alignment horizontal="left"/>
    </xf>
    <xf numFmtId="0" fontId="1" fillId="3" borderId="0" xfId="0" applyFont="1" applyFill="1" applyAlignment="1">
      <alignment horizontal="left"/>
    </xf>
    <xf numFmtId="0" fontId="3" fillId="3" borderId="0" xfId="0" applyFont="1" applyFill="1" applyAlignment="1">
      <alignment horizontal="left"/>
    </xf>
    <xf numFmtId="0" fontId="0" fillId="0" borderId="0" xfId="0" applyNumberFormat="1" applyFont="1" applyAlignment="1"/>
    <xf numFmtId="49" fontId="0" fillId="4" borderId="1" xfId="0" applyNumberFormat="1" applyFont="1" applyFill="1" applyBorder="1" applyAlignment="1"/>
    <xf numFmtId="49" fontId="0" fillId="5" borderId="1" xfId="0" applyNumberFormat="1" applyFont="1" applyFill="1" applyBorder="1" applyAlignment="1"/>
    <xf numFmtId="0" fontId="0" fillId="4" borderId="1" xfId="0" applyFont="1" applyFill="1" applyBorder="1" applyAlignment="1"/>
    <xf numFmtId="0" fontId="0" fillId="4" borderId="2" xfId="0" applyFont="1" applyFill="1" applyBorder="1" applyAlignment="1"/>
    <xf numFmtId="0" fontId="0" fillId="4" borderId="3" xfId="0" applyFont="1" applyFill="1" applyBorder="1" applyAlignment="1"/>
    <xf numFmtId="0" fontId="0" fillId="4" borderId="4" xfId="0" applyFont="1" applyFill="1" applyBorder="1" applyAlignment="1"/>
    <xf numFmtId="49" fontId="4" fillId="4" borderId="1" xfId="0" applyNumberFormat="1" applyFont="1" applyFill="1" applyBorder="1" applyAlignment="1"/>
    <xf numFmtId="0" fontId="0" fillId="4" borderId="1" xfId="0" applyNumberFormat="1" applyFont="1" applyFill="1" applyBorder="1" applyAlignment="1"/>
    <xf numFmtId="0" fontId="0" fillId="4" borderId="5" xfId="0" applyFont="1" applyFill="1" applyBorder="1" applyAlignment="1"/>
    <xf numFmtId="0" fontId="0" fillId="4" borderId="6" xfId="0" applyFont="1" applyFill="1" applyBorder="1" applyAlignment="1"/>
    <xf numFmtId="0" fontId="0" fillId="4" borderId="7" xfId="0" applyFont="1" applyFill="1" applyBorder="1" applyAlignment="1"/>
    <xf numFmtId="0" fontId="5" fillId="4" borderId="1" xfId="0" applyFont="1" applyFill="1" applyBorder="1" applyAlignment="1"/>
    <xf numFmtId="0" fontId="4" fillId="4" borderId="1" xfId="0" applyFont="1" applyFill="1" applyBorder="1" applyAlignment="1"/>
    <xf numFmtId="49" fontId="5" fillId="4" borderId="1" xfId="0" applyNumberFormat="1" applyFont="1" applyFill="1" applyBorder="1" applyAlignment="1"/>
    <xf numFmtId="49" fontId="0" fillId="4" borderId="6" xfId="0" applyNumberFormat="1" applyFont="1" applyFill="1" applyBorder="1" applyAlignment="1"/>
    <xf numFmtId="49" fontId="6" fillId="4" borderId="1" xfId="0" applyNumberFormat="1" applyFont="1" applyFill="1" applyBorder="1" applyAlignment="1"/>
    <xf numFmtId="0" fontId="0" fillId="4" borderId="1" xfId="0" applyNumberFormat="1" applyFont="1" applyFill="1" applyBorder="1" applyAlignment="1">
      <alignment horizontal="left"/>
    </xf>
    <xf numFmtId="0" fontId="4" fillId="4" borderId="1" xfId="0" applyNumberFormat="1" applyFont="1" applyFill="1" applyBorder="1" applyAlignment="1">
      <alignment horizontal="left"/>
    </xf>
    <xf numFmtId="49" fontId="4" fillId="4" borderId="1" xfId="0" applyNumberFormat="1" applyFont="1" applyFill="1" applyBorder="1" applyAlignment="1">
      <alignment horizontal="left"/>
    </xf>
    <xf numFmtId="49" fontId="4" fillId="5" borderId="1" xfId="0" applyNumberFormat="1" applyFont="1" applyFill="1" applyBorder="1" applyAlignment="1"/>
    <xf numFmtId="0" fontId="4" fillId="4" borderId="1" xfId="0" applyNumberFormat="1" applyFont="1" applyFill="1" applyBorder="1" applyAlignment="1"/>
    <xf numFmtId="49" fontId="7" fillId="4" borderId="1" xfId="0" applyNumberFormat="1" applyFont="1" applyFill="1" applyBorder="1" applyAlignment="1"/>
    <xf numFmtId="49" fontId="8" fillId="4" borderId="1" xfId="0" applyNumberFormat="1" applyFont="1" applyFill="1" applyBorder="1" applyAlignment="1"/>
    <xf numFmtId="49" fontId="4" fillId="6" borderId="1" xfId="0" applyNumberFormat="1" applyFont="1" applyFill="1" applyBorder="1" applyAlignment="1"/>
    <xf numFmtId="14" fontId="7" fillId="4" borderId="1" xfId="0" applyNumberFormat="1" applyFont="1" applyFill="1" applyBorder="1" applyAlignment="1"/>
    <xf numFmtId="14" fontId="4" fillId="4" borderId="1" xfId="0" applyNumberFormat="1" applyFont="1" applyFill="1" applyBorder="1" applyAlignment="1"/>
    <xf numFmtId="0" fontId="4" fillId="5" borderId="1" xfId="0" applyFont="1" applyFill="1" applyBorder="1" applyAlignment="1"/>
    <xf numFmtId="0" fontId="7" fillId="4" borderId="1" xfId="0" applyFont="1" applyFill="1" applyBorder="1" applyAlignment="1"/>
    <xf numFmtId="0" fontId="0" fillId="4" borderId="9" xfId="0" applyFont="1" applyFill="1" applyBorder="1" applyAlignment="1"/>
    <xf numFmtId="0" fontId="0" fillId="4" borderId="10" xfId="0" applyFont="1" applyFill="1" applyBorder="1" applyAlignment="1"/>
    <xf numFmtId="0" fontId="0" fillId="5" borderId="10" xfId="0" applyFont="1" applyFill="1" applyBorder="1" applyAlignment="1"/>
    <xf numFmtId="0" fontId="0" fillId="4" borderId="11" xfId="0" applyFont="1" applyFill="1" applyBorder="1" applyAlignment="1"/>
    <xf numFmtId="0" fontId="0" fillId="4" borderId="12" xfId="0" applyFont="1" applyFill="1" applyBorder="1" applyAlignment="1"/>
    <xf numFmtId="0" fontId="5" fillId="4" borderId="1" xfId="0" applyNumberFormat="1" applyFont="1" applyFill="1" applyBorder="1" applyAlignment="1"/>
    <xf numFmtId="0" fontId="0" fillId="4" borderId="13" xfId="0" applyFont="1" applyFill="1" applyBorder="1" applyAlignment="1"/>
    <xf numFmtId="49" fontId="4" fillId="5" borderId="14" xfId="0" applyNumberFormat="1" applyFont="1" applyFill="1" applyBorder="1" applyAlignment="1"/>
    <xf numFmtId="0" fontId="0" fillId="5" borderId="6" xfId="0" applyFont="1" applyFill="1" applyBorder="1" applyAlignment="1"/>
    <xf numFmtId="0" fontId="0" fillId="4" borderId="15" xfId="0" applyFont="1" applyFill="1" applyBorder="1" applyAlignment="1"/>
    <xf numFmtId="0" fontId="4" fillId="5" borderId="1" xfId="0" applyNumberFormat="1" applyFont="1" applyFill="1" applyBorder="1" applyAlignment="1"/>
    <xf numFmtId="0" fontId="0" fillId="4" borderId="16" xfId="0" applyFont="1" applyFill="1" applyBorder="1" applyAlignment="1"/>
    <xf numFmtId="16" fontId="0" fillId="4" borderId="11" xfId="0" applyNumberFormat="1" applyFont="1" applyFill="1" applyBorder="1" applyAlignment="1"/>
    <xf numFmtId="0" fontId="0" fillId="4" borderId="17" xfId="0" applyFont="1" applyFill="1" applyBorder="1" applyAlignment="1"/>
    <xf numFmtId="0" fontId="0" fillId="4" borderId="18" xfId="0" applyFont="1" applyFill="1" applyBorder="1" applyAlignment="1"/>
    <xf numFmtId="0" fontId="0" fillId="5" borderId="18" xfId="0" applyFont="1" applyFill="1" applyBorder="1" applyAlignment="1"/>
    <xf numFmtId="0" fontId="0" fillId="4" borderId="19" xfId="0" applyFont="1" applyFill="1" applyBorder="1" applyAlignment="1"/>
    <xf numFmtId="0" fontId="0" fillId="0" borderId="0" xfId="0" applyNumberFormat="1" applyFont="1" applyAlignment="1"/>
    <xf numFmtId="49" fontId="0" fillId="4" borderId="8" xfId="0" applyNumberFormat="1" applyFont="1" applyFill="1" applyBorder="1" applyAlignment="1"/>
    <xf numFmtId="49" fontId="0" fillId="4" borderId="20" xfId="0" applyNumberFormat="1" applyFont="1" applyFill="1" applyBorder="1" applyAlignment="1"/>
    <xf numFmtId="0" fontId="0" fillId="4" borderId="14" xfId="0" applyNumberFormat="1" applyFont="1" applyFill="1" applyBorder="1" applyAlignment="1"/>
    <xf numFmtId="0" fontId="0" fillId="4" borderId="21" xfId="0" applyFont="1" applyFill="1" applyBorder="1" applyAlignment="1"/>
    <xf numFmtId="0" fontId="0" fillId="4" borderId="21" xfId="0" applyNumberFormat="1" applyFont="1" applyFill="1" applyBorder="1" applyAlignment="1"/>
    <xf numFmtId="0" fontId="0" fillId="4" borderId="22" xfId="0" applyFont="1" applyFill="1" applyBorder="1" applyAlignment="1"/>
    <xf numFmtId="0" fontId="0" fillId="4" borderId="22" xfId="0" applyNumberFormat="1" applyFont="1" applyFill="1" applyBorder="1" applyAlignment="1"/>
    <xf numFmtId="0" fontId="0" fillId="4" borderId="23" xfId="0" applyFont="1" applyFill="1" applyBorder="1" applyAlignment="1"/>
    <xf numFmtId="0" fontId="0" fillId="0" borderId="0" xfId="0" applyNumberFormat="1" applyFont="1" applyAlignment="1"/>
    <xf numFmtId="49" fontId="0" fillId="4" borderId="24" xfId="0" applyNumberFormat="1" applyFont="1" applyFill="1" applyBorder="1" applyAlignment="1"/>
    <xf numFmtId="49" fontId="0" fillId="4" borderId="25" xfId="0" applyNumberFormat="1" applyFont="1" applyFill="1" applyBorder="1" applyAlignment="1"/>
    <xf numFmtId="49" fontId="0" fillId="4" borderId="26" xfId="0" applyNumberFormat="1" applyFont="1" applyFill="1" applyBorder="1" applyAlignment="1"/>
    <xf numFmtId="0" fontId="0" fillId="4" borderId="24" xfId="0" applyFont="1" applyFill="1" applyBorder="1" applyAlignment="1"/>
    <xf numFmtId="0" fontId="0" fillId="4" borderId="24" xfId="0" applyNumberFormat="1" applyFont="1" applyFill="1" applyBorder="1" applyAlignment="1"/>
    <xf numFmtId="49" fontId="0" fillId="4" borderId="28" xfId="0" applyNumberFormat="1" applyFont="1" applyFill="1" applyBorder="1" applyAlignment="1"/>
    <xf numFmtId="0" fontId="0" fillId="4" borderId="25" xfId="0" applyNumberFormat="1" applyFont="1" applyFill="1" applyBorder="1" applyAlignment="1"/>
    <xf numFmtId="0" fontId="0" fillId="5" borderId="6" xfId="0" applyNumberFormat="1" applyFont="1" applyFill="1" applyBorder="1" applyAlignment="1"/>
    <xf numFmtId="0" fontId="0" fillId="4" borderId="26" xfId="0" applyNumberFormat="1" applyFont="1" applyFill="1" applyBorder="1" applyAlignment="1"/>
    <xf numFmtId="49" fontId="0" fillId="4" borderId="29" xfId="0" applyNumberFormat="1" applyFont="1" applyFill="1" applyBorder="1" applyAlignment="1"/>
    <xf numFmtId="49" fontId="9" fillId="4" borderId="24" xfId="0" applyNumberFormat="1" applyFont="1" applyFill="1" applyBorder="1" applyAlignment="1"/>
    <xf numFmtId="49" fontId="4" fillId="4" borderId="24" xfId="0" applyNumberFormat="1" applyFont="1" applyFill="1" applyBorder="1" applyAlignment="1"/>
    <xf numFmtId="0" fontId="0" fillId="4" borderId="28" xfId="0" applyFont="1" applyFill="1" applyBorder="1" applyAlignment="1"/>
    <xf numFmtId="0" fontId="0" fillId="4" borderId="29" xfId="0" applyFont="1" applyFill="1" applyBorder="1" applyAlignment="1"/>
    <xf numFmtId="0" fontId="0" fillId="4" borderId="4" xfId="0" applyNumberFormat="1" applyFont="1" applyFill="1" applyBorder="1" applyAlignment="1"/>
    <xf numFmtId="0" fontId="0" fillId="4" borderId="7" xfId="0" applyNumberFormat="1" applyFont="1" applyFill="1" applyBorder="1" applyAlignment="1"/>
    <xf numFmtId="0" fontId="0" fillId="4" borderId="29" xfId="0" applyNumberFormat="1" applyFont="1" applyFill="1" applyBorder="1" applyAlignment="1"/>
    <xf numFmtId="49" fontId="10" fillId="4" borderId="24" xfId="0" applyNumberFormat="1" applyFont="1" applyFill="1" applyBorder="1" applyAlignment="1"/>
    <xf numFmtId="0" fontId="0" fillId="0" borderId="0" xfId="0" applyFont="1" applyAlignment="1"/>
    <xf numFmtId="0" fontId="11" fillId="0" borderId="0" xfId="0" applyFont="1" applyAlignment="1"/>
    <xf numFmtId="0" fontId="12" fillId="0" borderId="0" xfId="0" applyFont="1" applyAlignment="1"/>
    <xf numFmtId="0" fontId="0" fillId="7" borderId="0" xfId="0" applyFont="1" applyFill="1" applyAlignment="1"/>
    <xf numFmtId="0" fontId="11" fillId="4" borderId="1" xfId="0" applyNumberFormat="1" applyFont="1" applyFill="1" applyBorder="1" applyAlignment="1"/>
    <xf numFmtId="49" fontId="12" fillId="4" borderId="1" xfId="0" applyNumberFormat="1" applyFont="1" applyFill="1" applyBorder="1" applyAlignment="1"/>
    <xf numFmtId="0" fontId="14" fillId="4" borderId="1" xfId="0" applyNumberFormat="1" applyFont="1" applyFill="1" applyBorder="1" applyAlignment="1"/>
    <xf numFmtId="0" fontId="14" fillId="8" borderId="1" xfId="0" applyNumberFormat="1" applyFont="1" applyFill="1" applyBorder="1" applyAlignment="1"/>
    <xf numFmtId="0" fontId="13" fillId="4" borderId="1" xfId="0" applyNumberFormat="1" applyFont="1" applyFill="1" applyBorder="1" applyAlignment="1"/>
    <xf numFmtId="49" fontId="0" fillId="4" borderId="5" xfId="0" applyNumberFormat="1" applyFont="1" applyFill="1" applyBorder="1" applyAlignment="1"/>
    <xf numFmtId="0" fontId="0" fillId="4" borderId="6" xfId="0" applyNumberFormat="1" applyFont="1" applyFill="1" applyBorder="1" applyAlignment="1"/>
    <xf numFmtId="49" fontId="12" fillId="7" borderId="1" xfId="0" applyNumberFormat="1" applyFont="1" applyFill="1" applyBorder="1" applyAlignment="1"/>
    <xf numFmtId="49" fontId="7" fillId="4" borderId="8" xfId="0" applyNumberFormat="1" applyFont="1" applyFill="1" applyBorder="1" applyAlignment="1"/>
    <xf numFmtId="14" fontId="0" fillId="4" borderId="5" xfId="0" applyNumberFormat="1" applyFont="1" applyFill="1" applyBorder="1" applyAlignment="1"/>
    <xf numFmtId="49" fontId="12" fillId="4" borderId="24" xfId="0" applyNumberFormat="1" applyFont="1" applyFill="1" applyBorder="1" applyAlignment="1"/>
    <xf numFmtId="49" fontId="15" fillId="4" borderId="1" xfId="0" applyNumberFormat="1" applyFont="1" applyFill="1" applyBorder="1" applyAlignment="1"/>
    <xf numFmtId="0" fontId="0" fillId="4" borderId="26" xfId="0" applyFont="1" applyFill="1" applyBorder="1" applyAlignment="1"/>
    <xf numFmtId="0" fontId="11" fillId="4" borderId="1" xfId="0" applyFont="1" applyFill="1" applyBorder="1" applyAlignment="1"/>
    <xf numFmtId="49" fontId="11" fillId="4" borderId="1" xfId="0" applyNumberFormat="1" applyFont="1" applyFill="1" applyBorder="1" applyAlignment="1"/>
    <xf numFmtId="0" fontId="0" fillId="7" borderId="30" xfId="0" applyNumberFormat="1" applyFont="1" applyFill="1" applyBorder="1" applyAlignment="1"/>
    <xf numFmtId="49" fontId="16" fillId="4" borderId="1" xfId="0" applyNumberFormat="1" applyFont="1" applyFill="1" applyBorder="1" applyAlignment="1"/>
    <xf numFmtId="49" fontId="4" fillId="9" borderId="1" xfId="0" applyNumberFormat="1" applyFont="1" applyFill="1" applyBorder="1" applyAlignment="1"/>
    <xf numFmtId="0" fontId="12" fillId="4" borderId="27" xfId="0" applyFont="1" applyFill="1" applyBorder="1" applyAlignment="1"/>
    <xf numFmtId="0" fontId="12" fillId="4" borderId="2" xfId="0" applyFont="1" applyFill="1" applyBorder="1" applyAlignment="1"/>
    <xf numFmtId="0" fontId="12" fillId="4" borderId="3" xfId="0" applyFont="1" applyFill="1" applyBorder="1" applyAlignment="1"/>
    <xf numFmtId="0" fontId="12" fillId="10" borderId="1" xfId="0" applyFont="1" applyFill="1" applyBorder="1" applyAlignment="1"/>
    <xf numFmtId="0" fontId="12" fillId="9" borderId="1" xfId="0" applyFont="1" applyFill="1" applyBorder="1" applyAlignment="1"/>
    <xf numFmtId="0" fontId="0" fillId="10" borderId="6" xfId="0" applyFont="1" applyFill="1" applyBorder="1" applyAlignment="1"/>
    <xf numFmtId="0" fontId="0" fillId="10" borderId="27" xfId="0" applyFont="1" applyFill="1" applyBorder="1" applyAlignment="1"/>
    <xf numFmtId="0" fontId="0" fillId="7" borderId="1" xfId="0" applyNumberFormat="1" applyFont="1" applyFill="1" applyBorder="1" applyAlignment="1"/>
    <xf numFmtId="49" fontId="0" fillId="7" borderId="1" xfId="0" applyNumberFormat="1" applyFont="1" applyFill="1" applyBorder="1" applyAlignment="1"/>
    <xf numFmtId="49" fontId="0" fillId="4" borderId="31" xfId="0" applyNumberFormat="1" applyFont="1" applyFill="1" applyBorder="1" applyAlignment="1"/>
    <xf numFmtId="49" fontId="6" fillId="4" borderId="31" xfId="0" applyNumberFormat="1" applyFont="1" applyFill="1" applyBorder="1" applyAlignment="1"/>
    <xf numFmtId="49" fontId="15" fillId="4" borderId="31" xfId="0" applyNumberFormat="1" applyFont="1" applyFill="1" applyBorder="1" applyAlignment="1"/>
    <xf numFmtId="49" fontId="4" fillId="4" borderId="31" xfId="0" applyNumberFormat="1" applyFont="1" applyFill="1" applyBorder="1" applyAlignment="1"/>
    <xf numFmtId="49" fontId="7" fillId="4" borderId="31" xfId="0" applyNumberFormat="1" applyFont="1" applyFill="1" applyBorder="1" applyAlignment="1"/>
    <xf numFmtId="0" fontId="0" fillId="4" borderId="31" xfId="0" applyFont="1" applyFill="1" applyBorder="1" applyAlignment="1"/>
    <xf numFmtId="0" fontId="0" fillId="4" borderId="32" xfId="0" applyNumberFormat="1" applyFont="1" applyFill="1" applyBorder="1" applyAlignment="1"/>
    <xf numFmtId="49" fontId="4" fillId="4" borderId="26" xfId="0" applyNumberFormat="1" applyFont="1" applyFill="1" applyBorder="1" applyAlignment="1"/>
    <xf numFmtId="49" fontId="0" fillId="4" borderId="32" xfId="0" applyNumberFormat="1" applyFont="1" applyFill="1" applyBorder="1" applyAlignment="1"/>
    <xf numFmtId="0" fontId="0" fillId="4" borderId="25" xfId="0" applyFont="1" applyFill="1" applyBorder="1" applyAlignment="1"/>
    <xf numFmtId="0" fontId="12" fillId="4" borderId="25" xfId="0" applyFont="1" applyFill="1" applyBorder="1" applyAlignment="1"/>
    <xf numFmtId="0" fontId="12" fillId="4" borderId="25" xfId="0" applyNumberFormat="1" applyFont="1" applyFill="1" applyBorder="1" applyAlignment="1"/>
    <xf numFmtId="49" fontId="0" fillId="4" borderId="19" xfId="0" applyNumberFormat="1" applyFont="1" applyFill="1" applyBorder="1" applyAlignment="1"/>
    <xf numFmtId="49" fontId="0" fillId="4" borderId="17" xfId="0" applyNumberFormat="1" applyFont="1" applyFill="1" applyBorder="1" applyAlignment="1"/>
    <xf numFmtId="49" fontId="0" fillId="5" borderId="6" xfId="0" applyNumberFormat="1" applyFont="1" applyFill="1" applyBorder="1" applyAlignment="1"/>
    <xf numFmtId="0" fontId="12" fillId="4" borderId="28" xfId="0" applyFont="1" applyFill="1" applyBorder="1" applyAlignment="1"/>
    <xf numFmtId="49" fontId="7" fillId="4" borderId="14" xfId="0" applyNumberFormat="1" applyFont="1" applyFill="1" applyBorder="1" applyAlignment="1"/>
    <xf numFmtId="49" fontId="12" fillId="11" borderId="31" xfId="0" applyNumberFormat="1" applyFont="1" applyFill="1" applyBorder="1" applyAlignment="1"/>
    <xf numFmtId="49" fontId="4" fillId="11" borderId="1" xfId="0" applyNumberFormat="1" applyFont="1" applyFill="1" applyBorder="1" applyAlignment="1"/>
    <xf numFmtId="0" fontId="12" fillId="11" borderId="1" xfId="0" applyNumberFormat="1" applyFont="1" applyFill="1" applyBorder="1" applyAlignment="1"/>
    <xf numFmtId="0" fontId="12" fillId="7" borderId="1" xfId="0" applyNumberFormat="1" applyFont="1" applyFill="1" applyBorder="1" applyAlignment="1"/>
    <xf numFmtId="0" fontId="4" fillId="11" borderId="1" xfId="0" applyFont="1" applyFill="1" applyBorder="1" applyAlignment="1"/>
    <xf numFmtId="0" fontId="12" fillId="11" borderId="1" xfId="0" applyFont="1" applyFill="1" applyBorder="1" applyAlignment="1"/>
    <xf numFmtId="0" fontId="12" fillId="11" borderId="2" xfId="0" applyFont="1" applyFill="1" applyBorder="1" applyAlignment="1"/>
    <xf numFmtId="0" fontId="14" fillId="9" borderId="1" xfId="0" applyFont="1" applyFill="1" applyBorder="1" applyAlignment="1"/>
    <xf numFmtId="49" fontId="0" fillId="5" borderId="3" xfId="0" applyNumberFormat="1" applyFont="1" applyFill="1" applyBorder="1" applyAlignment="1"/>
    <xf numFmtId="0" fontId="0" fillId="10" borderId="28" xfId="0" applyFont="1" applyFill="1" applyBorder="1" applyAlignment="1"/>
    <xf numFmtId="0" fontId="1" fillId="0" borderId="0" xfId="0" applyFont="1" applyAlignment="1">
      <alignment horizontal="left" wrapText="1"/>
    </xf>
    <xf numFmtId="0" fontId="0" fillId="0" borderId="0" xfId="0" applyFont="1" applyAlignment="1"/>
  </cellXfs>
  <cellStyles count="1">
    <cellStyle name="Normal" xfId="0" builtinId="0"/>
  </cellStyles>
  <dxfs count="79">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ill>
        <patternFill>
          <bgColor rgb="FFFF0000"/>
        </patternFill>
      </fill>
    </dxf>
    <dxf>
      <fill>
        <patternFill>
          <bgColor rgb="FFFF5050"/>
        </patternFill>
      </fill>
    </dxf>
    <dxf>
      <font>
        <b val="0"/>
        <i val="0"/>
        <strike val="0"/>
        <condense val="0"/>
        <extend val="0"/>
        <outline val="0"/>
        <shadow val="0"/>
        <u val="none"/>
        <vertAlign val="baseline"/>
        <sz val="10"/>
        <color indexed="8"/>
        <name val="Arial"/>
        <scheme val="none"/>
      </font>
      <numFmt numFmtId="0" formatCode="General"/>
      <fill>
        <patternFill patternType="solid">
          <fgColor indexed="64"/>
          <bgColor theme="0"/>
        </patternFill>
      </fill>
      <alignment horizontal="general" vertical="bottom" textRotation="0" wrapText="0" indent="0" justifyLastLine="0" shrinkToFit="0" readingOrder="0"/>
      <border diagonalUp="0" diagonalDown="0">
        <left style="thin">
          <color indexed="14"/>
        </left>
        <right/>
        <top style="thin">
          <color indexed="14"/>
        </top>
        <bottom/>
        <vertical/>
        <horizontal/>
      </border>
    </dxf>
    <dxf>
      <font>
        <b val="0"/>
        <i val="0"/>
        <strike val="0"/>
        <condense val="0"/>
        <extend val="0"/>
        <outline val="0"/>
        <shadow val="0"/>
        <u val="none"/>
        <vertAlign val="baseline"/>
        <sz val="10"/>
        <color indexed="8"/>
        <name val="Arial"/>
        <scheme val="none"/>
      </font>
      <fill>
        <patternFill patternType="solid">
          <fgColor indexed="64"/>
          <bgColor indexed="12"/>
        </patternFill>
      </fill>
      <alignment horizontal="general" vertical="bottom" textRotation="0" wrapText="0" indent="0" justifyLastLine="0" shrinkToFit="0" readingOrder="0"/>
      <border diagonalUp="0" diagonalDown="0">
        <left style="thin">
          <color indexed="14"/>
        </left>
        <right/>
        <top style="thin">
          <color indexed="14"/>
        </top>
        <bottom style="thin">
          <color indexed="14"/>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14"/>
        </left>
        <right style="thin">
          <color indexed="14"/>
        </right>
        <top style="thin">
          <color indexed="14"/>
        </top>
        <bottom style="thin">
          <color indexed="14"/>
        </bottom>
        <vertical/>
        <horizontal/>
      </border>
    </dxf>
    <dxf>
      <font>
        <b val="0"/>
        <i val="0"/>
        <strike val="0"/>
        <condense val="0"/>
        <extend val="0"/>
        <outline val="0"/>
        <shadow val="0"/>
        <u val="none"/>
        <vertAlign val="baseline"/>
        <sz val="10"/>
        <color indexed="8"/>
        <name val="Arial"/>
        <scheme val="none"/>
      </font>
      <fill>
        <patternFill patternType="solid">
          <fgColor indexed="64"/>
          <bgColor indexed="12"/>
        </patternFill>
      </fill>
      <alignment horizontal="general" vertical="bottom" textRotation="0" wrapText="0" indent="0" justifyLastLine="0" shrinkToFit="0" readingOrder="0"/>
      <border diagonalUp="0" diagonalDown="0">
        <left style="thin">
          <color indexed="14"/>
        </left>
        <right style="thin">
          <color indexed="14"/>
        </right>
        <top style="thin">
          <color indexed="14"/>
        </top>
        <bottom style="thin">
          <color indexed="14"/>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3"/>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14"/>
        </left>
        <right/>
        <top style="thin">
          <color indexed="14"/>
        </top>
        <bottom style="thin">
          <color indexed="14"/>
        </bottom>
        <vertical/>
        <horizontal/>
      </border>
    </dxf>
    <dxf>
      <font>
        <b val="0"/>
        <i val="0"/>
        <strike val="0"/>
        <condense val="0"/>
        <extend val="0"/>
        <outline val="0"/>
        <shadow val="0"/>
        <u val="none"/>
        <vertAlign val="baseline"/>
        <sz val="10"/>
        <color indexed="8"/>
        <name val="Arial"/>
        <scheme val="none"/>
      </font>
      <fill>
        <patternFill patternType="solid">
          <fgColor indexed="64"/>
          <bgColor indexed="12"/>
        </patternFill>
      </fill>
      <alignment horizontal="general" vertical="bottom" textRotation="0" wrapText="0" indent="0" justifyLastLine="0" shrinkToFit="0" readingOrder="0"/>
      <border diagonalUp="0" diagonalDown="0">
        <left style="thin">
          <color indexed="14"/>
        </left>
        <right style="thin">
          <color indexed="14"/>
        </right>
        <top style="thin">
          <color indexed="14"/>
        </top>
        <bottom style="thin">
          <color indexed="14"/>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14"/>
        </left>
        <right style="thin">
          <color indexed="14"/>
        </right>
        <top style="thin">
          <color indexed="14"/>
        </top>
        <bottom style="thin">
          <color indexed="14"/>
        </bottom>
        <vertical/>
        <horizontal/>
      </border>
    </dxf>
    <dxf>
      <font>
        <b val="0"/>
        <i val="0"/>
        <strike val="0"/>
        <condense val="0"/>
        <extend val="0"/>
        <outline val="0"/>
        <shadow val="0"/>
        <u val="none"/>
        <vertAlign val="baseline"/>
        <sz val="10"/>
        <color indexed="8"/>
        <name val="Arial"/>
        <scheme val="none"/>
      </font>
      <fill>
        <patternFill patternType="solid">
          <fgColor indexed="64"/>
          <bgColor indexed="12"/>
        </patternFill>
      </fill>
      <alignment horizontal="general" vertical="bottom" textRotation="0" wrapText="0" indent="0" justifyLastLine="0" shrinkToFit="0" readingOrder="0"/>
      <border diagonalUp="0" diagonalDown="0">
        <left style="thin">
          <color indexed="14"/>
        </left>
        <right style="thin">
          <color indexed="14"/>
        </right>
        <top style="thin">
          <color indexed="14"/>
        </top>
        <bottom style="thin">
          <color indexed="14"/>
        </bottom>
        <vertical/>
        <horizontal/>
      </border>
    </dxf>
    <dxf>
      <font>
        <b val="0"/>
        <i val="0"/>
        <strike val="0"/>
        <condense val="0"/>
        <extend val="0"/>
        <outline val="0"/>
        <shadow val="0"/>
        <u val="none"/>
        <vertAlign val="baseline"/>
        <sz val="10"/>
        <color indexed="8"/>
        <name val="Arial"/>
        <scheme val="none"/>
      </font>
      <fill>
        <patternFill patternType="solid">
          <fgColor indexed="64"/>
          <bgColor indexed="12"/>
        </patternFill>
      </fill>
      <alignment horizontal="general" vertical="bottom" textRotation="0" wrapText="0" indent="0" justifyLastLine="0" shrinkToFit="0" readingOrder="0"/>
      <border diagonalUp="0" diagonalDown="0">
        <left/>
        <right style="thin">
          <color indexed="14"/>
        </right>
        <top style="thin">
          <color indexed="14"/>
        </top>
        <bottom style="thin">
          <color indexed="14"/>
        </bottom>
        <vertical/>
        <horizontal/>
      </border>
    </dxf>
    <dxf>
      <border outline="0">
        <left style="thin">
          <color indexed="14"/>
        </left>
        <right style="thin">
          <color indexed="14"/>
        </right>
        <top style="thin">
          <color indexed="14"/>
        </top>
      </border>
    </dxf>
    <dxf>
      <font>
        <color auto="1"/>
      </font>
      <fill>
        <patternFill>
          <bgColor rgb="FFFF0000"/>
        </patternFill>
      </fill>
    </dxf>
    <dxf>
      <font>
        <b val="0"/>
        <i val="0"/>
        <strike val="0"/>
        <condense val="0"/>
        <extend val="0"/>
        <outline val="0"/>
        <shadow val="0"/>
        <u val="none"/>
        <vertAlign val="baseline"/>
        <sz val="10"/>
        <color indexed="8"/>
        <name val="Arial"/>
        <scheme val="none"/>
      </font>
      <fill>
        <patternFill patternType="solid">
          <fgColor indexed="64"/>
          <bgColor indexed="12"/>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scheme val="none"/>
      </font>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top style="thin">
          <color indexed="14"/>
        </top>
        <bottom/>
        <vertical/>
        <horizontal/>
      </border>
    </dxf>
    <dxf>
      <font>
        <b val="0"/>
        <i val="0"/>
        <strike val="0"/>
        <condense val="0"/>
        <extend val="0"/>
        <outline val="0"/>
        <shadow val="0"/>
        <u val="none"/>
        <vertAlign val="baseline"/>
        <sz val="10"/>
        <color indexed="8"/>
        <name val="Arial"/>
        <scheme val="none"/>
      </font>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i val="0"/>
        <strike val="0"/>
        <condense val="0"/>
        <extend val="0"/>
        <outline val="0"/>
        <shadow val="0"/>
        <u val="none"/>
        <vertAlign val="baseline"/>
        <sz val="10"/>
        <color indexed="8"/>
        <name val="Arial"/>
        <scheme val="none"/>
      </font>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rgb="FFFFFF00"/>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0" formatCode="General"/>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i val="0"/>
        <strike val="0"/>
        <condense val="0"/>
        <extend val="0"/>
        <outline val="0"/>
        <shadow val="0"/>
        <u val="none"/>
        <vertAlign val="baseline"/>
        <sz val="10"/>
        <color indexed="8"/>
        <name val="Arial"/>
        <scheme val="none"/>
      </font>
      <numFmt numFmtId="30" formatCode="@"/>
      <fill>
        <patternFill patternType="solid">
          <fgColor indexed="64"/>
          <bgColor indexed="12"/>
        </patternFill>
      </fill>
      <alignment horizontal="general" vertical="bottom"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0"/>
        <color indexed="8"/>
        <name val="Arial"/>
        <scheme val="none"/>
      </font>
      <numFmt numFmtId="30" formatCode="@"/>
      <fill>
        <patternFill patternType="solid">
          <fgColor indexed="64"/>
          <bgColor indexed="12"/>
        </patternFill>
      </fill>
      <alignment horizontal="general" vertical="bottom" textRotation="0" wrapText="0" indent="0" justifyLastLine="0" shrinkToFit="0" readingOrder="0"/>
      <border diagonalUp="0" diagonalDown="0">
        <left/>
        <right style="thin">
          <color indexed="8"/>
        </right>
        <top style="thin">
          <color indexed="8"/>
        </top>
        <bottom style="thin">
          <color indexed="8"/>
        </bottom>
        <vertical/>
        <horizontal/>
      </border>
    </dxf>
    <dxf>
      <border outline="0">
        <left style="thin">
          <color indexed="8"/>
        </left>
      </border>
    </dxf>
    <dxf>
      <font>
        <b val="0"/>
        <i val="0"/>
        <strike val="0"/>
        <condense val="0"/>
        <extend val="0"/>
        <outline val="0"/>
        <shadow val="0"/>
        <u val="none"/>
        <vertAlign val="baseline"/>
        <sz val="10"/>
        <color indexed="8"/>
        <name val="Arial"/>
        <scheme val="none"/>
      </font>
      <fill>
        <patternFill patternType="solid">
          <fgColor indexed="64"/>
          <bgColor indexed="12"/>
        </patternFill>
      </fill>
      <alignment horizontal="general" vertical="bottom" textRotation="0" wrapText="0" indent="0" justifyLastLine="0" shrinkToFit="0" readingOrder="0"/>
    </dxf>
    <dxf>
      <fill>
        <patternFill>
          <bgColor rgb="FFFF0000"/>
        </patternFill>
      </fill>
    </dxf>
    <dxf>
      <fill>
        <patternFill>
          <bgColor rgb="FFFF5050"/>
        </patternFill>
      </fill>
    </dxf>
  </dxfs>
  <tableStyles count="0" defaultPivotStyle="PivotStyleMedium7"/>
  <colors>
    <indexedColors>
      <rgbColor rgb="FF000000"/>
      <rgbColor rgb="FFFFFFFF"/>
      <rgbColor rgb="FFFF0000"/>
      <rgbColor rgb="FF00FF00"/>
      <rgbColor rgb="FF0000FF"/>
      <rgbColor rgb="FFFFFF00"/>
      <rgbColor rgb="FFFF00FF"/>
      <rgbColor rgb="FF00FFFF"/>
      <rgbColor rgb="FF000000"/>
      <rgbColor rgb="FF5E88B1"/>
      <rgbColor rgb="FFEEF3F4"/>
      <rgbColor rgb="FF0000FF"/>
      <rgbColor rgb="FFFFFFFF"/>
      <rgbColor rgb="FFFFFF00"/>
      <rgbColor rgb="FFAAAAAA"/>
      <rgbColor rgb="FFFF0000"/>
      <rgbColor rgb="FFC0504D"/>
      <rgbColor rgb="FFC00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id="1" name="TableA" displayName="TableA" ref="A1:U154" totalsRowShown="0" dataDxfId="76" tableBorderDxfId="75">
  <autoFilter ref="A1:U154"/>
  <tableColumns count="21">
    <tableColumn id="1" name="GROUP" dataDxfId="74"/>
    <tableColumn id="2" name="ITEM"/>
    <tableColumn id="3" name="DATA" dataDxfId="73"/>
    <tableColumn id="4" name="TYPE"/>
    <tableColumn id="5" name="STK" dataDxfId="72"/>
    <tableColumn id="6" name="IN" dataDxfId="71"/>
    <tableColumn id="7" name="OUT" dataDxfId="70"/>
    <tableColumn id="8" name="BALANCE" dataDxfId="69"/>
    <tableColumn id="9" name="IN2" dataDxfId="68"/>
    <tableColumn id="10" name="OUT3" dataDxfId="67"/>
    <tableColumn id="11" name="STOCK" dataDxfId="66"/>
    <tableColumn id="12" name="PRICE" dataDxfId="65"/>
    <tableColumn id="13" name="VALUE" dataDxfId="64"/>
    <tableColumn id="14" name="Column4" dataDxfId="63"/>
    <tableColumn id="15" name="PRICE5" dataDxfId="62"/>
    <tableColumn id="16" name="VALUE6" dataDxfId="61"/>
    <tableColumn id="17" name="PRICE7" dataDxfId="60"/>
    <tableColumn id="18" name="VALUE8" dataDxfId="59"/>
    <tableColumn id="19" name="REMARKS" dataDxfId="58"/>
    <tableColumn id="20" name="MIN" dataDxfId="57"/>
    <tableColumn id="21" name="ORDER" dataDxfId="56">
      <calculatedColumnFormula>IF(T2&gt;H2,"Y","")</calculatedColumnFormula>
    </tableColumn>
  </tableColumns>
  <tableStyleInfo showFirstColumn="0" showLastColumn="0" showRowStripes="1" showColumnStripes="0"/>
</table>
</file>

<file path=xl/tables/table2.xml><?xml version="1.0" encoding="utf-8"?>
<table xmlns="http://schemas.openxmlformats.org/spreadsheetml/2006/main" id="2" name="TableB" displayName="TableB" ref="A1:J124" totalsRowShown="0" tableBorderDxfId="54">
  <autoFilter ref="A1:J124"/>
  <tableColumns count="10">
    <tableColumn id="1" name="PCB Number" dataDxfId="53"/>
    <tableColumn id="2" name="Name" dataDxfId="52"/>
    <tableColumn id="3" name="Qty" dataDxfId="51"/>
    <tableColumn id="4" name="IN" dataDxfId="50"/>
    <tableColumn id="5" name="OUT" dataDxfId="49"/>
    <tableColumn id="6" name="STOCK" dataDxfId="48">
      <calculatedColumnFormula>C2+D2-E2</calculatedColumnFormula>
    </tableColumn>
    <tableColumn id="7" name="PRICE" dataDxfId="47"/>
    <tableColumn id="8" name="VALUE" dataDxfId="46">
      <calculatedColumnFormula>F2*G2</calculatedColumnFormula>
    </tableColumn>
    <tableColumn id="9" name="MIN" dataDxfId="45"/>
    <tableColumn id="10" name="ORDER" dataDxfId="44">
      <calculatedColumnFormula>IF(I2&gt;F2,"Y","")</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Theme">
      <a:dk1>
        <a:srgbClr val="000000"/>
      </a:dk1>
      <a:lt1>
        <a:srgbClr val="FFFFFF"/>
      </a:lt1>
      <a:dk2>
        <a:srgbClr val="A7A7A7"/>
      </a:dk2>
      <a:lt2>
        <a:srgbClr val="535353"/>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FF00FF"/>
      </a:folHlink>
    </a:clrScheme>
    <a:fontScheme name="Office Theme">
      <a:majorFont>
        <a:latin typeface="Helvetica Neue"/>
        <a:ea typeface="Helvetica Neue"/>
        <a:cs typeface="Helvetica Neue"/>
      </a:majorFont>
      <a:minorFont>
        <a:latin typeface="Helvetica Neue"/>
        <a:ea typeface="Helvetica Neue"/>
        <a:cs typeface="Helvetica Neue"/>
      </a:minorFont>
    </a:fontScheme>
    <a:fmtScheme name="Office Them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29999"/>
              </a:schemeClr>
            </a:gs>
            <a:gs pos="100000">
              <a:schemeClr val="phClr">
                <a:tint val="50000"/>
                <a:shade val="100000"/>
                <a:satMod val="350000"/>
              </a:schemeClr>
            </a:gs>
          </a:gsLst>
          <a:lin ang="16200000" scaled="0"/>
        </a:gradFill>
      </a:fillStyleLst>
      <a:lnStyleLst>
        <a:ln w="9525" cap="flat" cmpd="sng" algn="ctr">
          <a:solidFill>
            <a:schemeClr val="phClr">
              <a:shade val="95000"/>
              <a:satMod val="104999"/>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38100" dist="23000" dir="5400000" rotWithShape="0">
              <a:srgbClr val="000000">
                <a:alpha val="35000"/>
              </a:srgbClr>
            </a:outerShdw>
          </a:effectLst>
        </a:effectStyle>
        <a:effectStyle>
          <a:effectLst>
            <a:outerShdw blurRad="38100" dist="23000" dir="5400000" rotWithShape="0">
              <a:srgbClr val="000000">
                <a:alpha val="35000"/>
              </a:srgbClr>
            </a:outerShdw>
          </a:effectLst>
        </a:effectStyle>
        <a:effectStyle>
          <a:effectLst>
            <a:outerShdw blurRad="38100" dist="23000" dir="5400000" rotWithShape="0">
              <a:srgbClr val="000000">
                <a:alpha val="35000"/>
              </a:srgbClr>
            </a:outerShdw>
          </a:effectLst>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FFFFFF"/>
        </a:solidFill>
        <a:ln w="25400" cap="flat">
          <a:solidFill>
            <a:schemeClr val="accent1"/>
          </a:solidFill>
          <a:prstDash val="solid"/>
          <a:round/>
        </a:ln>
        <a:effectLst>
          <a:outerShdw blurRad="38100" dist="23000" dir="5400000" rotWithShape="0">
            <a:srgbClr val="000000">
              <a:alpha val="35000"/>
            </a:srgbClr>
          </a:outerShdw>
        </a:effectLst>
        <a:sp3d/>
      </a:spPr>
      <a:bodyPr rot="0" spcFirstLastPara="1" vertOverflow="overflow" horzOverflow="overflow" vert="horz" wrap="square" lIns="45718" tIns="45718" rIns="45718" bIns="45718" numCol="1" spcCol="38100" rtlCol="0" anchor="ctr">
        <a:spAutoFit/>
      </a:bodyPr>
      <a:lstStyle>
        <a:defPPr marL="0" marR="0" indent="0" algn="l" defTabSz="914400" rtl="0" fontAlgn="auto" latinLnBrk="0" hangingPunct="0">
          <a:lnSpc>
            <a:spcPct val="100000"/>
          </a:lnSpc>
          <a:spcBef>
            <a:spcPts val="0"/>
          </a:spcBef>
          <a:spcAft>
            <a:spcPts val="0"/>
          </a:spcAft>
          <a:buClrTx/>
          <a:buSzTx/>
          <a:buFontTx/>
          <a:buNone/>
          <a:defRPr kumimoji="0" sz="1100" b="0" i="0" u="none" strike="noStrike" cap="none" spc="0" normalizeH="0" baseline="0">
            <a:ln>
              <a:noFill/>
            </a:ln>
            <a:solidFill>
              <a:srgbClr val="000000"/>
            </a:solidFill>
            <a:effectLst/>
            <a:uFillTx/>
            <a:latin typeface="+mn-lt"/>
            <a:ea typeface="+mn-ea"/>
            <a:cs typeface="+mn-cs"/>
            <a:sym typeface="Helvetica Neue"/>
          </a:defRPr>
        </a:defPPr>
        <a:lvl1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spDef>
    <a:lnDef>
      <a:spPr>
        <a:noFill/>
        <a:ln w="25400" cap="flat">
          <a:solidFill>
            <a:schemeClr val="accent1"/>
          </a:solidFill>
          <a:prstDash val="solid"/>
          <a:round/>
        </a:ln>
        <a:effectLst>
          <a:outerShdw blurRad="38100" dist="23000" dir="5400000" rotWithShape="0">
            <a:srgbClr val="000000">
              <a:alpha val="35000"/>
            </a:srgbClr>
          </a:outerShdw>
        </a:effectLst>
        <a:sp3d/>
      </a:spPr>
      <a:bodyPr rot="0" spcFirstLastPara="1" vertOverflow="overflow" horzOverflow="overflow" vert="horz" wrap="square" lIns="91439" tIns="45719" rIns="91439" bIns="45719" numCol="1" spcCol="38100" rtlCol="0" anchor="t">
        <a:noAutofit/>
      </a:bodyPr>
      <a:lstStyle>
        <a:def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defPPr>
        <a:lvl1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lnDef>
    <a:txDef>
      <a:spPr>
        <a:noFill/>
        <a:ln w="12700" cap="flat">
          <a:noFill/>
          <a:miter lim="400000"/>
        </a:ln>
        <a:effectLst/>
        <a:sp3d/>
      </a:spPr>
      <a:bodyPr rot="0" spcFirstLastPara="1" vertOverflow="overflow" horzOverflow="overflow" vert="horz" wrap="square" lIns="45718" tIns="45718" rIns="45718" bIns="45718" numCol="1" spcCol="38100" rtlCol="0" anchor="t">
        <a:spAutoFit/>
      </a:bodyPr>
      <a:lstStyle>
        <a:defPPr marL="0" marR="0" indent="0" algn="l" defTabSz="914400" rtl="0" fontAlgn="auto" latinLnBrk="0" hangingPunct="0">
          <a:lnSpc>
            <a:spcPct val="100000"/>
          </a:lnSpc>
          <a:spcBef>
            <a:spcPts val="0"/>
          </a:spcBef>
          <a:spcAft>
            <a:spcPts val="0"/>
          </a:spcAft>
          <a:buClrTx/>
          <a:buSzTx/>
          <a:buFontTx/>
          <a:buNone/>
          <a:defRPr kumimoji="0" sz="1100" b="0" i="0" u="none" strike="noStrike" cap="none" spc="0" normalizeH="0" baseline="0">
            <a:ln>
              <a:noFill/>
            </a:ln>
            <a:solidFill>
              <a:srgbClr val="000000"/>
            </a:solidFill>
            <a:effectLst/>
            <a:uFillTx/>
            <a:latin typeface="+mn-lt"/>
            <a:ea typeface="+mn-ea"/>
            <a:cs typeface="+mn-cs"/>
            <a:sym typeface="Helvetica Neue"/>
          </a:defRPr>
        </a:defPPr>
        <a:lvl1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tx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D14"/>
  <sheetViews>
    <sheetView showGridLines="0" workbookViewId="0"/>
  </sheetViews>
  <sheetFormatPr defaultColWidth="10" defaultRowHeight="13.35" customHeight="1"/>
  <cols>
    <col min="1" max="1" width="2" customWidth="1"/>
    <col min="2" max="4" width="33.42578125" customWidth="1"/>
  </cols>
  <sheetData>
    <row r="3" spans="2:4" ht="0" hidden="1" customHeight="1">
      <c r="B3" s="137" t="s">
        <v>0</v>
      </c>
      <c r="C3" s="138"/>
      <c r="D3" s="138"/>
    </row>
    <row r="7" spans="2:4" ht="18">
      <c r="B7" s="1" t="s">
        <v>1</v>
      </c>
      <c r="C7" s="1" t="s">
        <v>2</v>
      </c>
      <c r="D7" s="1" t="s">
        <v>3</v>
      </c>
    </row>
    <row r="9" spans="2:4" ht="15">
      <c r="B9" s="2" t="s">
        <v>4</v>
      </c>
      <c r="C9" s="2"/>
      <c r="D9" s="2"/>
    </row>
    <row r="10" spans="2:4" ht="15">
      <c r="B10" s="3"/>
      <c r="C10" s="3" t="s">
        <v>5</v>
      </c>
      <c r="D10" s="4" t="s">
        <v>4</v>
      </c>
    </row>
    <row r="11" spans="2:4" ht="15">
      <c r="B11" s="2" t="s">
        <v>271</v>
      </c>
      <c r="C11" s="2"/>
      <c r="D11" s="2"/>
    </row>
    <row r="12" spans="2:4" ht="15">
      <c r="B12" s="3"/>
      <c r="C12" s="3" t="s">
        <v>5</v>
      </c>
      <c r="D12" s="4" t="s">
        <v>271</v>
      </c>
    </row>
    <row r="13" spans="2:4" ht="15">
      <c r="B13" s="2" t="s">
        <v>347</v>
      </c>
      <c r="C13" s="2"/>
      <c r="D13" s="2"/>
    </row>
    <row r="14" spans="2:4" ht="15">
      <c r="B14" s="3"/>
      <c r="C14" s="3" t="s">
        <v>5</v>
      </c>
      <c r="D14" s="4" t="s">
        <v>347</v>
      </c>
    </row>
  </sheetData>
  <mergeCells count="1">
    <mergeCell ref="B3:D3"/>
  </mergeCells>
  <hyperlinks>
    <hyperlink ref="D10" location="'STOCK'!R1C1" display="STOCK"/>
    <hyperlink ref="D12" location="'JWEL'!R1C1" display="JWEL"/>
    <hyperlink ref="D14" location="'BLANK PCB.'!R1C1" display="BLANK PCB."/>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167"/>
  <sheetViews>
    <sheetView showGridLines="0" tabSelected="1" topLeftCell="A49" workbookViewId="0">
      <selection activeCell="G6" sqref="G6"/>
    </sheetView>
  </sheetViews>
  <sheetFormatPr defaultColWidth="8.85546875" defaultRowHeight="12.75" customHeight="1"/>
  <cols>
    <col min="1" max="1" width="15.28515625" style="5" customWidth="1"/>
    <col min="2" max="2" width="22.28515625" style="5" customWidth="1"/>
    <col min="3" max="3" width="14" style="5" customWidth="1"/>
    <col min="4" max="4" width="14.28515625" style="5" customWidth="1"/>
    <col min="5" max="5" width="7.28515625" style="5" customWidth="1"/>
    <col min="6" max="6" width="8.7109375" style="5" customWidth="1"/>
    <col min="7" max="7" width="9.42578125" style="5" customWidth="1"/>
    <col min="8" max="8" width="11.85546875" style="5" customWidth="1"/>
    <col min="9" max="15" width="8.7109375" style="5" hidden="1" customWidth="1"/>
    <col min="16" max="16" width="1.28515625" style="5" hidden="1" customWidth="1"/>
    <col min="17" max="17" width="9.7109375" style="5" customWidth="1"/>
    <col min="18" max="18" width="10.28515625" style="5" customWidth="1"/>
    <col min="19" max="19" width="12.42578125" style="5" customWidth="1"/>
    <col min="20" max="20" width="8.85546875" style="5" customWidth="1"/>
    <col min="21" max="21" width="9.7109375" style="5" customWidth="1"/>
    <col min="22" max="22" width="10.42578125" style="5" customWidth="1"/>
    <col min="23" max="23" width="11.42578125" style="5" customWidth="1"/>
    <col min="24" max="31" width="8.85546875" style="5" customWidth="1"/>
    <col min="32" max="16384" width="8.85546875" style="5"/>
  </cols>
  <sheetData>
    <row r="1" spans="1:30" ht="12.75" customHeight="1">
      <c r="A1" s="110" t="s">
        <v>6</v>
      </c>
      <c r="B1" s="6" t="s">
        <v>7</v>
      </c>
      <c r="C1" s="6" t="s">
        <v>8</v>
      </c>
      <c r="D1" s="6" t="s">
        <v>9</v>
      </c>
      <c r="E1" s="6" t="s">
        <v>10</v>
      </c>
      <c r="F1" s="6" t="s">
        <v>11</v>
      </c>
      <c r="G1" s="6" t="s">
        <v>12</v>
      </c>
      <c r="H1" s="109" t="s">
        <v>13</v>
      </c>
      <c r="I1" s="6" t="s">
        <v>531</v>
      </c>
      <c r="J1" s="6" t="s">
        <v>532</v>
      </c>
      <c r="K1" s="6" t="s">
        <v>4</v>
      </c>
      <c r="L1" s="6" t="s">
        <v>14</v>
      </c>
      <c r="M1" s="6" t="s">
        <v>15</v>
      </c>
      <c r="N1" s="8" t="s">
        <v>533</v>
      </c>
      <c r="O1" s="6" t="s">
        <v>534</v>
      </c>
      <c r="P1" s="6" t="s">
        <v>535</v>
      </c>
      <c r="Q1" s="6" t="s">
        <v>536</v>
      </c>
      <c r="R1" s="6" t="s">
        <v>537</v>
      </c>
      <c r="S1" s="6" t="s">
        <v>16</v>
      </c>
      <c r="T1" s="9" t="s">
        <v>523</v>
      </c>
      <c r="U1" s="103" t="s">
        <v>524</v>
      </c>
      <c r="V1" s="10"/>
      <c r="W1" s="10"/>
      <c r="X1" s="10"/>
      <c r="Y1" s="10"/>
      <c r="Z1" s="10"/>
      <c r="AA1" s="10"/>
      <c r="AB1" s="10"/>
      <c r="AC1" s="10"/>
      <c r="AD1" s="11"/>
    </row>
    <row r="2" spans="1:30" ht="12.75" customHeight="1">
      <c r="A2" s="110" t="s">
        <v>17</v>
      </c>
      <c r="B2" s="6" t="s">
        <v>18</v>
      </c>
      <c r="C2" s="12" t="s">
        <v>19</v>
      </c>
      <c r="D2" s="8"/>
      <c r="E2" s="13">
        <v>975</v>
      </c>
      <c r="F2" s="13">
        <v>0</v>
      </c>
      <c r="G2" s="13">
        <v>0</v>
      </c>
      <c r="H2" s="108">
        <f>E2+F2-G2</f>
        <v>975</v>
      </c>
      <c r="I2" s="13">
        <v>25</v>
      </c>
      <c r="J2" s="13">
        <v>0</v>
      </c>
      <c r="K2" s="13">
        <f>H2+I2-J2</f>
        <v>1000</v>
      </c>
      <c r="L2" s="13">
        <v>230</v>
      </c>
      <c r="M2" s="13">
        <f>K2*L2</f>
        <v>230000</v>
      </c>
      <c r="N2" s="8"/>
      <c r="O2" s="13">
        <v>230</v>
      </c>
      <c r="P2" s="13">
        <f>K2*O2</f>
        <v>230000</v>
      </c>
      <c r="Q2" s="13">
        <v>145</v>
      </c>
      <c r="R2" s="13">
        <f t="shared" ref="R2:R74" si="0">H2*Q2</f>
        <v>141375</v>
      </c>
      <c r="S2" s="8"/>
      <c r="T2" s="9">
        <v>500</v>
      </c>
      <c r="U2" s="15" t="str">
        <f>IF(T2&gt;H2,"Y","")</f>
        <v/>
      </c>
      <c r="V2" s="15"/>
      <c r="W2" s="15"/>
      <c r="X2" s="15"/>
      <c r="Y2" s="15"/>
      <c r="Z2" s="15"/>
      <c r="AA2" s="15"/>
      <c r="AB2" s="15"/>
      <c r="AC2" s="15"/>
      <c r="AD2" s="16"/>
    </row>
    <row r="3" spans="1:30" ht="12.75" customHeight="1">
      <c r="A3" s="110" t="s">
        <v>20</v>
      </c>
      <c r="B3" s="6" t="s">
        <v>20</v>
      </c>
      <c r="C3" s="6" t="s">
        <v>21</v>
      </c>
      <c r="D3" s="6" t="s">
        <v>21</v>
      </c>
      <c r="E3" s="13">
        <v>2400</v>
      </c>
      <c r="F3" s="13">
        <v>6000</v>
      </c>
      <c r="G3" s="13">
        <v>6800</v>
      </c>
      <c r="H3" s="108">
        <f t="shared" ref="H3:H66" si="1">E3+F3-G3</f>
        <v>1600</v>
      </c>
      <c r="I3" s="13">
        <v>7600</v>
      </c>
      <c r="J3" s="13">
        <v>3000</v>
      </c>
      <c r="K3" s="13">
        <f>H3+I3-J3</f>
        <v>6200</v>
      </c>
      <c r="L3" s="13">
        <v>1.4</v>
      </c>
      <c r="M3" s="13">
        <f>K3*L3</f>
        <v>8680</v>
      </c>
      <c r="N3" s="8"/>
      <c r="O3" s="13">
        <v>1.4</v>
      </c>
      <c r="P3" s="13">
        <f>K3*O3</f>
        <v>8680</v>
      </c>
      <c r="Q3" s="13">
        <v>1.4</v>
      </c>
      <c r="R3" s="13">
        <f t="shared" si="0"/>
        <v>2240</v>
      </c>
      <c r="S3" s="8"/>
      <c r="T3" s="9">
        <v>500</v>
      </c>
      <c r="U3" s="15" t="str">
        <f t="shared" ref="U3:U67" si="2">IF(T3&gt;H3,"Y","")</f>
        <v/>
      </c>
      <c r="V3" s="15"/>
      <c r="W3" s="15"/>
      <c r="X3" s="15"/>
      <c r="Y3" s="15"/>
      <c r="Z3" s="15"/>
      <c r="AA3" s="15"/>
      <c r="AB3" s="15"/>
      <c r="AC3" s="15"/>
      <c r="AD3" s="16"/>
    </row>
    <row r="4" spans="1:30" ht="12.75" customHeight="1">
      <c r="A4" s="110" t="s">
        <v>20</v>
      </c>
      <c r="B4" s="6" t="s">
        <v>20</v>
      </c>
      <c r="C4" s="6" t="s">
        <v>22</v>
      </c>
      <c r="D4" s="6" t="s">
        <v>22</v>
      </c>
      <c r="E4" s="13">
        <v>400</v>
      </c>
      <c r="F4" s="13">
        <v>1500</v>
      </c>
      <c r="G4" s="13">
        <v>800</v>
      </c>
      <c r="H4" s="108">
        <f t="shared" si="1"/>
        <v>1100</v>
      </c>
      <c r="I4" s="13">
        <v>2500</v>
      </c>
      <c r="J4" s="13">
        <v>600</v>
      </c>
      <c r="K4" s="13">
        <f>H4+I4-J4</f>
        <v>3000</v>
      </c>
      <c r="L4" s="13">
        <v>4.25</v>
      </c>
      <c r="M4" s="13">
        <f>K4*L4</f>
        <v>12750</v>
      </c>
      <c r="N4" s="8"/>
      <c r="O4" s="13">
        <v>4.25</v>
      </c>
      <c r="P4" s="13">
        <f>K4*O4</f>
        <v>12750</v>
      </c>
      <c r="Q4" s="13">
        <v>4.25</v>
      </c>
      <c r="R4" s="13">
        <f t="shared" si="0"/>
        <v>4675</v>
      </c>
      <c r="S4" s="8"/>
      <c r="T4" s="9">
        <v>500</v>
      </c>
      <c r="U4" s="15" t="str">
        <f t="shared" si="2"/>
        <v/>
      </c>
      <c r="V4" s="15"/>
      <c r="W4" s="15"/>
      <c r="X4" s="15"/>
      <c r="Y4" s="15"/>
      <c r="Z4" s="15"/>
      <c r="AA4" s="15"/>
      <c r="AB4" s="15"/>
      <c r="AC4" s="15"/>
      <c r="AD4" s="16"/>
    </row>
    <row r="5" spans="1:30" ht="12.75" customHeight="1">
      <c r="A5" s="110" t="s">
        <v>20</v>
      </c>
      <c r="B5" s="6" t="s">
        <v>20</v>
      </c>
      <c r="C5" s="6" t="s">
        <v>23</v>
      </c>
      <c r="D5" s="6" t="s">
        <v>23</v>
      </c>
      <c r="E5" s="13">
        <v>2600</v>
      </c>
      <c r="F5" s="13">
        <v>5000</v>
      </c>
      <c r="G5" s="13">
        <v>7100</v>
      </c>
      <c r="H5" s="108">
        <f t="shared" si="1"/>
        <v>500</v>
      </c>
      <c r="I5" s="13">
        <v>4000</v>
      </c>
      <c r="J5" s="13">
        <v>3000</v>
      </c>
      <c r="K5" s="13">
        <f>H5+I5-J5</f>
        <v>1500</v>
      </c>
      <c r="L5" s="13">
        <v>2.75</v>
      </c>
      <c r="M5" s="13">
        <f>K5*L5</f>
        <v>4125</v>
      </c>
      <c r="N5" s="8"/>
      <c r="O5" s="13">
        <v>2.75</v>
      </c>
      <c r="P5" s="13">
        <f>K5*O5</f>
        <v>4125</v>
      </c>
      <c r="Q5" s="13">
        <v>2.75</v>
      </c>
      <c r="R5" s="13">
        <f t="shared" si="0"/>
        <v>1375</v>
      </c>
      <c r="S5" s="8"/>
      <c r="T5" s="9">
        <v>500</v>
      </c>
      <c r="U5" s="15" t="str">
        <f t="shared" si="2"/>
        <v/>
      </c>
      <c r="V5" s="15"/>
      <c r="W5" s="15"/>
      <c r="X5" s="15"/>
      <c r="Y5" s="15"/>
      <c r="Z5" s="15"/>
      <c r="AA5" s="15"/>
      <c r="AB5" s="15"/>
      <c r="AC5" s="15"/>
      <c r="AD5" s="16"/>
    </row>
    <row r="6" spans="1:30" ht="12.75" customHeight="1">
      <c r="A6" s="110" t="s">
        <v>20</v>
      </c>
      <c r="B6" s="6" t="s">
        <v>24</v>
      </c>
      <c r="C6" s="6" t="s">
        <v>25</v>
      </c>
      <c r="D6" s="6" t="s">
        <v>26</v>
      </c>
      <c r="E6" s="13">
        <v>1600</v>
      </c>
      <c r="F6" s="13">
        <v>0</v>
      </c>
      <c r="G6" s="13">
        <v>0</v>
      </c>
      <c r="H6" s="108">
        <f t="shared" si="1"/>
        <v>1600</v>
      </c>
      <c r="I6" s="13">
        <v>0</v>
      </c>
      <c r="J6" s="13">
        <v>0</v>
      </c>
      <c r="K6" s="13">
        <f>H6+I6-J6</f>
        <v>1600</v>
      </c>
      <c r="L6" s="13">
        <v>1.4</v>
      </c>
      <c r="M6" s="13">
        <f>K6*L6</f>
        <v>2240</v>
      </c>
      <c r="N6" s="8"/>
      <c r="O6" s="13">
        <v>1.4</v>
      </c>
      <c r="P6" s="13">
        <f>K6*O6</f>
        <v>2240</v>
      </c>
      <c r="Q6" s="13">
        <v>1.4</v>
      </c>
      <c r="R6" s="13">
        <f t="shared" si="0"/>
        <v>2240</v>
      </c>
      <c r="S6" s="8"/>
      <c r="T6" s="9">
        <v>0</v>
      </c>
      <c r="U6" s="15" t="str">
        <f t="shared" si="2"/>
        <v/>
      </c>
      <c r="V6" s="15"/>
      <c r="W6" s="15"/>
      <c r="X6" s="15"/>
      <c r="Y6" s="15"/>
      <c r="Z6" s="15"/>
      <c r="AA6" s="15"/>
      <c r="AB6" s="15"/>
      <c r="AC6" s="15"/>
      <c r="AD6" s="16"/>
    </row>
    <row r="7" spans="1:30" ht="12.75" customHeight="1">
      <c r="A7" s="110" t="s">
        <v>27</v>
      </c>
      <c r="B7" s="6" t="s">
        <v>28</v>
      </c>
      <c r="C7" s="6"/>
      <c r="D7" s="6"/>
      <c r="E7" s="13">
        <v>300</v>
      </c>
      <c r="F7" s="13">
        <v>1000</v>
      </c>
      <c r="G7" s="13">
        <v>100</v>
      </c>
      <c r="H7" s="108">
        <f t="shared" si="1"/>
        <v>1200</v>
      </c>
      <c r="I7" s="8"/>
      <c r="J7" s="8"/>
      <c r="K7" s="8"/>
      <c r="L7" s="8"/>
      <c r="M7" s="8"/>
      <c r="N7" s="8"/>
      <c r="O7" s="8"/>
      <c r="P7" s="8"/>
      <c r="Q7" s="13">
        <v>6.5</v>
      </c>
      <c r="R7" s="13">
        <f t="shared" si="0"/>
        <v>7800</v>
      </c>
      <c r="S7" s="8"/>
      <c r="T7" s="9">
        <v>200</v>
      </c>
      <c r="U7" s="15" t="str">
        <f t="shared" si="2"/>
        <v/>
      </c>
      <c r="V7" s="15"/>
      <c r="W7" s="15"/>
      <c r="X7" s="15"/>
      <c r="Y7" s="15"/>
      <c r="Z7" s="15"/>
      <c r="AA7" s="15"/>
      <c r="AB7" s="15"/>
      <c r="AC7" s="15"/>
      <c r="AD7" s="16"/>
    </row>
    <row r="8" spans="1:30" ht="12.75" customHeight="1">
      <c r="A8" s="110" t="s">
        <v>29</v>
      </c>
      <c r="B8" s="12" t="s">
        <v>30</v>
      </c>
      <c r="C8" s="6" t="s">
        <v>31</v>
      </c>
      <c r="D8" s="12" t="s">
        <v>30</v>
      </c>
      <c r="E8" s="13">
        <v>1600</v>
      </c>
      <c r="F8" s="13">
        <v>0</v>
      </c>
      <c r="G8" s="13">
        <v>0</v>
      </c>
      <c r="H8" s="108">
        <f t="shared" si="1"/>
        <v>1600</v>
      </c>
      <c r="I8" s="13">
        <v>0</v>
      </c>
      <c r="J8" s="13">
        <v>0</v>
      </c>
      <c r="K8" s="13">
        <f>H8+I8-J8</f>
        <v>1600</v>
      </c>
      <c r="L8" s="13">
        <v>1.5</v>
      </c>
      <c r="M8" s="13">
        <f>K8*L8</f>
        <v>2400</v>
      </c>
      <c r="N8" s="8"/>
      <c r="O8" s="13">
        <v>1.5</v>
      </c>
      <c r="P8" s="13">
        <f>K8*O8</f>
        <v>2400</v>
      </c>
      <c r="Q8" s="13">
        <v>1.5</v>
      </c>
      <c r="R8" s="13">
        <f t="shared" si="0"/>
        <v>2400</v>
      </c>
      <c r="S8" s="8"/>
      <c r="T8" s="9">
        <v>0</v>
      </c>
      <c r="U8" s="15" t="str">
        <f t="shared" si="2"/>
        <v/>
      </c>
      <c r="V8" s="15"/>
      <c r="W8" s="15"/>
      <c r="X8" s="15"/>
      <c r="Y8" s="15"/>
      <c r="Z8" s="15"/>
      <c r="AA8" s="15"/>
      <c r="AB8" s="15"/>
      <c r="AC8" s="15"/>
      <c r="AD8" s="16"/>
    </row>
    <row r="9" spans="1:30" ht="12.75" customHeight="1">
      <c r="A9" s="110" t="s">
        <v>29</v>
      </c>
      <c r="B9" s="12" t="s">
        <v>29</v>
      </c>
      <c r="C9" s="12" t="s">
        <v>32</v>
      </c>
      <c r="D9" s="12" t="s">
        <v>33</v>
      </c>
      <c r="E9" s="13">
        <v>12100</v>
      </c>
      <c r="F9" s="13"/>
      <c r="G9" s="13">
        <v>5500</v>
      </c>
      <c r="H9" s="108">
        <f t="shared" si="1"/>
        <v>6600</v>
      </c>
      <c r="I9" s="13">
        <v>20800</v>
      </c>
      <c r="J9" s="13">
        <v>9950</v>
      </c>
      <c r="K9" s="13">
        <f>H9+I9-J9</f>
        <v>17450</v>
      </c>
      <c r="L9" s="8"/>
      <c r="M9" s="8"/>
      <c r="N9" s="8"/>
      <c r="O9" s="13">
        <v>3.4</v>
      </c>
      <c r="P9" s="13">
        <f>K9*O9</f>
        <v>59330</v>
      </c>
      <c r="Q9" s="13">
        <v>3.4</v>
      </c>
      <c r="R9" s="13">
        <f t="shared" si="0"/>
        <v>22440</v>
      </c>
      <c r="S9" s="8"/>
      <c r="T9" s="9">
        <v>5000</v>
      </c>
      <c r="U9" s="15" t="str">
        <f t="shared" si="2"/>
        <v/>
      </c>
      <c r="V9" s="15"/>
      <c r="W9" s="15"/>
      <c r="X9" s="15"/>
      <c r="Y9" s="15"/>
      <c r="Z9" s="15"/>
      <c r="AA9" s="15"/>
      <c r="AB9" s="15"/>
      <c r="AC9" s="15"/>
      <c r="AD9" s="16"/>
    </row>
    <row r="10" spans="1:30" ht="12.75" customHeight="1">
      <c r="A10" s="110" t="s">
        <v>29</v>
      </c>
      <c r="B10" s="12" t="s">
        <v>34</v>
      </c>
      <c r="C10" s="12" t="s">
        <v>35</v>
      </c>
      <c r="D10" s="12"/>
      <c r="E10" s="13">
        <v>500</v>
      </c>
      <c r="F10" s="13">
        <v>0</v>
      </c>
      <c r="G10" s="13">
        <v>0</v>
      </c>
      <c r="H10" s="108">
        <f t="shared" si="1"/>
        <v>500</v>
      </c>
      <c r="I10" s="13">
        <v>0</v>
      </c>
      <c r="J10" s="13">
        <v>0</v>
      </c>
      <c r="K10" s="13">
        <f>H10+I10-J10</f>
        <v>500</v>
      </c>
      <c r="L10" s="13">
        <v>0.22</v>
      </c>
      <c r="M10" s="13">
        <f>K10*L10</f>
        <v>110</v>
      </c>
      <c r="N10" s="17"/>
      <c r="O10" s="13">
        <v>0.22</v>
      </c>
      <c r="P10" s="13">
        <f>K10*O10</f>
        <v>110</v>
      </c>
      <c r="Q10" s="13">
        <v>0.3</v>
      </c>
      <c r="R10" s="13">
        <f t="shared" si="0"/>
        <v>150</v>
      </c>
      <c r="S10" s="8"/>
      <c r="T10" s="9">
        <v>0</v>
      </c>
      <c r="U10" s="15" t="str">
        <f t="shared" si="2"/>
        <v/>
      </c>
      <c r="V10" s="15"/>
      <c r="W10" s="15"/>
      <c r="X10" s="15"/>
      <c r="Y10" s="15"/>
      <c r="Z10" s="15"/>
      <c r="AA10" s="15"/>
      <c r="AB10" s="15"/>
      <c r="AC10" s="15"/>
      <c r="AD10" s="16"/>
    </row>
    <row r="11" spans="1:30" ht="12.75" customHeight="1">
      <c r="A11" s="110" t="s">
        <v>29</v>
      </c>
      <c r="B11" s="6" t="s">
        <v>29</v>
      </c>
      <c r="C11" s="6" t="s">
        <v>484</v>
      </c>
      <c r="D11" s="18"/>
      <c r="E11" s="13">
        <v>10000</v>
      </c>
      <c r="F11" s="13">
        <v>0</v>
      </c>
      <c r="G11" s="13">
        <v>10000</v>
      </c>
      <c r="H11" s="108">
        <f t="shared" si="1"/>
        <v>0</v>
      </c>
      <c r="I11" s="13">
        <v>20000</v>
      </c>
      <c r="J11" s="13">
        <v>14000</v>
      </c>
      <c r="K11" s="13">
        <f>H11+I11-J11</f>
        <v>6000</v>
      </c>
      <c r="L11" s="13">
        <v>0.69</v>
      </c>
      <c r="M11" s="13">
        <f>K11*L11</f>
        <v>4140</v>
      </c>
      <c r="N11" s="17"/>
      <c r="O11" s="13">
        <v>0.36</v>
      </c>
      <c r="P11" s="13">
        <f>K11*O11</f>
        <v>2160</v>
      </c>
      <c r="Q11" s="13">
        <v>0.4</v>
      </c>
      <c r="R11" s="13">
        <f t="shared" si="0"/>
        <v>0</v>
      </c>
      <c r="S11" s="8"/>
      <c r="T11" s="9">
        <v>0</v>
      </c>
      <c r="U11" s="15" t="str">
        <f t="shared" si="2"/>
        <v/>
      </c>
      <c r="V11" s="15"/>
      <c r="W11" s="15"/>
      <c r="X11" s="15"/>
      <c r="Y11" s="15"/>
      <c r="Z11" s="15"/>
      <c r="AA11" s="15"/>
      <c r="AB11" s="15"/>
      <c r="AC11" s="15"/>
      <c r="AD11" s="16"/>
    </row>
    <row r="12" spans="1:30" ht="12.75" customHeight="1">
      <c r="A12" s="110" t="s">
        <v>29</v>
      </c>
      <c r="B12" s="6" t="s">
        <v>29</v>
      </c>
      <c r="C12" s="6" t="s">
        <v>36</v>
      </c>
      <c r="D12" s="18"/>
      <c r="E12" s="13">
        <v>51000</v>
      </c>
      <c r="F12" s="13"/>
      <c r="G12" s="13">
        <v>32500</v>
      </c>
      <c r="H12" s="108">
        <f t="shared" si="1"/>
        <v>18500</v>
      </c>
      <c r="I12" s="13"/>
      <c r="J12" s="13"/>
      <c r="K12" s="13"/>
      <c r="L12" s="13"/>
      <c r="M12" s="13"/>
      <c r="N12" s="17"/>
      <c r="O12" s="13"/>
      <c r="P12" s="13"/>
      <c r="Q12" s="13">
        <v>0.09</v>
      </c>
      <c r="R12" s="13">
        <f t="shared" si="0"/>
        <v>1665</v>
      </c>
      <c r="S12" s="8"/>
      <c r="T12" s="9">
        <v>5000</v>
      </c>
      <c r="U12" s="15" t="str">
        <f t="shared" si="2"/>
        <v/>
      </c>
      <c r="V12" s="15"/>
      <c r="W12" s="15"/>
      <c r="X12" s="15"/>
      <c r="Y12" s="15"/>
      <c r="Z12" s="15"/>
      <c r="AA12" s="15"/>
      <c r="AB12" s="15"/>
      <c r="AC12" s="15"/>
      <c r="AD12" s="16"/>
    </row>
    <row r="13" spans="1:30" ht="12.75" customHeight="1">
      <c r="A13" s="110" t="s">
        <v>29</v>
      </c>
      <c r="B13" s="6" t="s">
        <v>29</v>
      </c>
      <c r="C13" s="6" t="s">
        <v>37</v>
      </c>
      <c r="D13" s="6" t="s">
        <v>38</v>
      </c>
      <c r="E13" s="13">
        <v>23500</v>
      </c>
      <c r="F13" s="13">
        <v>0</v>
      </c>
      <c r="G13" s="13">
        <v>4500</v>
      </c>
      <c r="H13" s="108">
        <f t="shared" si="1"/>
        <v>19000</v>
      </c>
      <c r="I13" s="13">
        <v>0</v>
      </c>
      <c r="J13" s="13">
        <v>4350</v>
      </c>
      <c r="K13" s="13">
        <f>H13+I13-J13</f>
        <v>14650</v>
      </c>
      <c r="L13" s="13">
        <v>2.5</v>
      </c>
      <c r="M13" s="13">
        <f>K13*L13</f>
        <v>36625</v>
      </c>
      <c r="N13" s="17"/>
      <c r="O13" s="13">
        <v>2.5</v>
      </c>
      <c r="P13" s="13">
        <f>K13*O13</f>
        <v>36625</v>
      </c>
      <c r="Q13" s="13">
        <v>0.45</v>
      </c>
      <c r="R13" s="13">
        <f t="shared" si="0"/>
        <v>8550</v>
      </c>
      <c r="S13" s="97"/>
      <c r="T13" s="9">
        <v>5000</v>
      </c>
      <c r="U13" s="15" t="str">
        <f t="shared" si="2"/>
        <v/>
      </c>
      <c r="V13" s="15"/>
      <c r="W13" s="15"/>
      <c r="X13" s="15"/>
      <c r="Y13" s="15"/>
      <c r="Z13" s="15"/>
      <c r="AA13" s="15"/>
      <c r="AB13" s="15"/>
      <c r="AC13" s="15"/>
      <c r="AD13" s="16"/>
    </row>
    <row r="14" spans="1:30" ht="12.75" customHeight="1">
      <c r="A14" s="110" t="s">
        <v>29</v>
      </c>
      <c r="B14" s="6" t="s">
        <v>29</v>
      </c>
      <c r="C14" s="6" t="s">
        <v>39</v>
      </c>
      <c r="D14" s="6"/>
      <c r="E14" s="13">
        <v>8000</v>
      </c>
      <c r="F14" s="13">
        <v>0</v>
      </c>
      <c r="G14" s="13">
        <v>500</v>
      </c>
      <c r="H14" s="108">
        <f t="shared" si="1"/>
        <v>7500</v>
      </c>
      <c r="I14" s="8"/>
      <c r="J14" s="8"/>
      <c r="K14" s="8"/>
      <c r="L14" s="8"/>
      <c r="M14" s="8"/>
      <c r="N14" s="17"/>
      <c r="O14" s="8"/>
      <c r="P14" s="8"/>
      <c r="Q14" s="13">
        <v>1.77</v>
      </c>
      <c r="R14" s="13">
        <f t="shared" si="0"/>
        <v>13275</v>
      </c>
      <c r="S14" s="8"/>
      <c r="T14" s="102">
        <v>0</v>
      </c>
      <c r="U14" s="15" t="str">
        <f t="shared" si="2"/>
        <v/>
      </c>
      <c r="V14" s="15"/>
      <c r="W14" s="15"/>
      <c r="X14" s="15"/>
      <c r="Y14" s="15"/>
      <c r="Z14" s="15"/>
      <c r="AA14" s="15"/>
      <c r="AB14" s="15"/>
      <c r="AC14" s="15"/>
      <c r="AD14" s="16"/>
    </row>
    <row r="15" spans="1:30" ht="12.75" customHeight="1">
      <c r="A15" s="110" t="s">
        <v>29</v>
      </c>
      <c r="B15" s="6" t="s">
        <v>40</v>
      </c>
      <c r="C15" s="19" t="s">
        <v>41</v>
      </c>
      <c r="D15" s="12" t="s">
        <v>42</v>
      </c>
      <c r="E15" s="13">
        <v>0</v>
      </c>
      <c r="F15" s="13">
        <v>0</v>
      </c>
      <c r="G15" s="13">
        <v>0</v>
      </c>
      <c r="H15" s="108">
        <f t="shared" si="1"/>
        <v>0</v>
      </c>
      <c r="I15" s="8"/>
      <c r="J15" s="8"/>
      <c r="K15" s="13">
        <f>H15+I15-J15</f>
        <v>0</v>
      </c>
      <c r="L15" s="8"/>
      <c r="M15" s="8"/>
      <c r="N15" s="17"/>
      <c r="O15" s="13">
        <v>0.11</v>
      </c>
      <c r="P15" s="13">
        <f>K15*O15</f>
        <v>0</v>
      </c>
      <c r="Q15" s="13">
        <v>0.09</v>
      </c>
      <c r="R15" s="13">
        <f t="shared" si="0"/>
        <v>0</v>
      </c>
      <c r="S15" s="8"/>
      <c r="T15" s="102">
        <v>0</v>
      </c>
      <c r="U15" s="15" t="str">
        <f t="shared" si="2"/>
        <v/>
      </c>
      <c r="V15" s="15"/>
      <c r="W15" s="15"/>
      <c r="X15" s="15"/>
      <c r="Y15" s="15"/>
      <c r="Z15" s="15"/>
      <c r="AA15" s="15"/>
      <c r="AB15" s="15"/>
      <c r="AC15" s="15"/>
      <c r="AD15" s="16"/>
    </row>
    <row r="16" spans="1:30" ht="12.75" customHeight="1">
      <c r="A16" s="110" t="s">
        <v>29</v>
      </c>
      <c r="B16" s="12" t="s">
        <v>43</v>
      </c>
      <c r="C16" s="12" t="s">
        <v>44</v>
      </c>
      <c r="D16" s="12" t="s">
        <v>45</v>
      </c>
      <c r="E16" s="13">
        <v>20000</v>
      </c>
      <c r="F16" s="13">
        <v>0</v>
      </c>
      <c r="G16" s="13">
        <v>12000</v>
      </c>
      <c r="H16" s="108">
        <f t="shared" si="1"/>
        <v>8000</v>
      </c>
      <c r="I16" s="13">
        <v>0</v>
      </c>
      <c r="J16" s="13">
        <v>87000</v>
      </c>
      <c r="K16" s="13">
        <f>H16+I16-J16</f>
        <v>-79000</v>
      </c>
      <c r="L16" s="13">
        <v>0.2</v>
      </c>
      <c r="M16" s="13">
        <f>K16*L16</f>
        <v>-15800</v>
      </c>
      <c r="N16" s="8"/>
      <c r="O16" s="13">
        <v>0.22</v>
      </c>
      <c r="P16" s="13">
        <f>K16*O16</f>
        <v>-17380</v>
      </c>
      <c r="Q16" s="13">
        <v>0.18</v>
      </c>
      <c r="R16" s="13">
        <f t="shared" si="0"/>
        <v>1440</v>
      </c>
      <c r="S16" s="8"/>
      <c r="T16" s="9">
        <v>2000</v>
      </c>
      <c r="U16" s="15" t="str">
        <f t="shared" si="2"/>
        <v/>
      </c>
      <c r="V16" s="15"/>
      <c r="W16" s="15"/>
      <c r="X16" s="15"/>
      <c r="Y16" s="15"/>
      <c r="Z16" s="15"/>
      <c r="AA16" s="15"/>
      <c r="AB16" s="15"/>
      <c r="AC16" s="15"/>
      <c r="AD16" s="16"/>
    </row>
    <row r="17" spans="1:30" ht="12.75" customHeight="1">
      <c r="A17" s="110" t="s">
        <v>29</v>
      </c>
      <c r="B17" s="12" t="s">
        <v>46</v>
      </c>
      <c r="C17" s="12" t="s">
        <v>47</v>
      </c>
      <c r="D17" s="12" t="s">
        <v>42</v>
      </c>
      <c r="E17" s="13">
        <v>256287</v>
      </c>
      <c r="F17" s="13">
        <v>0</v>
      </c>
      <c r="G17" s="13">
        <v>34300</v>
      </c>
      <c r="H17" s="108">
        <f t="shared" si="1"/>
        <v>221987</v>
      </c>
      <c r="I17" s="13">
        <v>148000</v>
      </c>
      <c r="J17" s="13">
        <v>0</v>
      </c>
      <c r="K17" s="13">
        <f>H17+I17-J17</f>
        <v>369987</v>
      </c>
      <c r="L17" s="8"/>
      <c r="M17" s="8"/>
      <c r="N17" s="8"/>
      <c r="O17" s="13">
        <v>0.11</v>
      </c>
      <c r="P17" s="13">
        <f>K17*O17</f>
        <v>40698.57</v>
      </c>
      <c r="Q17" s="13">
        <v>0.09</v>
      </c>
      <c r="R17" s="13">
        <f t="shared" si="0"/>
        <v>19978.829999999998</v>
      </c>
      <c r="S17" s="8"/>
      <c r="T17" s="9">
        <v>30000</v>
      </c>
      <c r="U17" s="15" t="str">
        <f t="shared" si="2"/>
        <v/>
      </c>
      <c r="V17" s="15"/>
      <c r="W17" s="15"/>
      <c r="X17" s="15"/>
      <c r="Y17" s="15"/>
      <c r="Z17" s="15"/>
      <c r="AA17" s="15"/>
      <c r="AB17" s="15"/>
      <c r="AC17" s="15"/>
      <c r="AD17" s="16"/>
    </row>
    <row r="18" spans="1:30" ht="12.75" customHeight="1">
      <c r="A18" s="110" t="s">
        <v>29</v>
      </c>
      <c r="B18" s="6" t="s">
        <v>29</v>
      </c>
      <c r="C18" s="6" t="s">
        <v>48</v>
      </c>
      <c r="D18" s="6" t="s">
        <v>49</v>
      </c>
      <c r="E18" s="13">
        <v>12000</v>
      </c>
      <c r="F18" s="13">
        <v>0</v>
      </c>
      <c r="G18" s="13">
        <v>10750</v>
      </c>
      <c r="H18" s="108">
        <f t="shared" si="1"/>
        <v>1250</v>
      </c>
      <c r="I18" s="13">
        <v>25000</v>
      </c>
      <c r="J18" s="13">
        <v>5750</v>
      </c>
      <c r="K18" s="13">
        <f>H18+I18-J18</f>
        <v>20500</v>
      </c>
      <c r="L18" s="13">
        <v>1.2</v>
      </c>
      <c r="M18" s="13">
        <f>K18*L18</f>
        <v>24600</v>
      </c>
      <c r="N18" s="17"/>
      <c r="O18" s="13">
        <v>1.9</v>
      </c>
      <c r="P18" s="13">
        <f>K18*O18</f>
        <v>38950</v>
      </c>
      <c r="Q18" s="13">
        <v>0.77</v>
      </c>
      <c r="R18" s="13">
        <f t="shared" si="0"/>
        <v>962.5</v>
      </c>
      <c r="S18" s="8"/>
      <c r="T18" s="9">
        <v>5000</v>
      </c>
      <c r="U18" s="15" t="str">
        <f t="shared" si="2"/>
        <v>Y</v>
      </c>
      <c r="V18" s="15"/>
      <c r="W18" s="15"/>
      <c r="X18" s="15"/>
      <c r="Y18" s="15"/>
      <c r="Z18" s="15"/>
      <c r="AA18" s="15"/>
      <c r="AB18" s="15"/>
      <c r="AC18" s="15"/>
      <c r="AD18" s="16"/>
    </row>
    <row r="19" spans="1:30" ht="12.75" customHeight="1">
      <c r="A19" s="110" t="s">
        <v>29</v>
      </c>
      <c r="B19" s="6" t="s">
        <v>29</v>
      </c>
      <c r="C19" s="6" t="s">
        <v>454</v>
      </c>
      <c r="D19" s="6" t="s">
        <v>42</v>
      </c>
      <c r="E19" s="13">
        <v>156000</v>
      </c>
      <c r="F19" s="13">
        <v>0</v>
      </c>
      <c r="G19" s="13">
        <v>22220</v>
      </c>
      <c r="H19" s="108">
        <f t="shared" si="1"/>
        <v>133780</v>
      </c>
      <c r="I19" s="13"/>
      <c r="J19" s="13"/>
      <c r="K19" s="13"/>
      <c r="L19" s="13"/>
      <c r="M19" s="13"/>
      <c r="N19" s="17"/>
      <c r="O19" s="13"/>
      <c r="P19" s="13"/>
      <c r="Q19" s="13">
        <v>0.3</v>
      </c>
      <c r="R19" s="13">
        <f t="shared" si="0"/>
        <v>40134</v>
      </c>
      <c r="S19" s="8"/>
      <c r="T19" s="9">
        <v>10000</v>
      </c>
      <c r="U19" s="15" t="str">
        <f t="shared" si="2"/>
        <v/>
      </c>
      <c r="V19" s="15"/>
      <c r="W19" s="15"/>
      <c r="X19" s="15"/>
      <c r="Y19" s="15"/>
      <c r="Z19" s="15"/>
      <c r="AA19" s="15"/>
      <c r="AB19" s="15"/>
      <c r="AC19" s="15"/>
      <c r="AD19" s="16"/>
    </row>
    <row r="20" spans="1:30" ht="12.75" customHeight="1">
      <c r="A20" s="110" t="s">
        <v>29</v>
      </c>
      <c r="B20" s="6" t="s">
        <v>29</v>
      </c>
      <c r="C20" s="6" t="s">
        <v>426</v>
      </c>
      <c r="D20" s="6"/>
      <c r="E20" s="13">
        <v>14000</v>
      </c>
      <c r="F20" s="13">
        <v>0</v>
      </c>
      <c r="G20" s="13">
        <v>0</v>
      </c>
      <c r="H20" s="108">
        <f t="shared" si="1"/>
        <v>14000</v>
      </c>
      <c r="I20" s="13"/>
      <c r="J20" s="13"/>
      <c r="K20" s="13"/>
      <c r="L20" s="13"/>
      <c r="M20" s="13"/>
      <c r="N20" s="17"/>
      <c r="O20" s="13"/>
      <c r="P20" s="13"/>
      <c r="Q20" s="13">
        <v>0.77</v>
      </c>
      <c r="R20" s="13">
        <f t="shared" si="0"/>
        <v>10780</v>
      </c>
      <c r="S20" s="8"/>
      <c r="T20" s="9">
        <v>0</v>
      </c>
      <c r="U20" s="15" t="str">
        <f t="shared" si="2"/>
        <v/>
      </c>
      <c r="V20" s="15"/>
      <c r="W20" s="15"/>
      <c r="X20" s="15"/>
      <c r="Y20" s="15"/>
      <c r="Z20" s="15"/>
      <c r="AA20" s="15"/>
      <c r="AB20" s="15"/>
      <c r="AC20" s="15"/>
      <c r="AD20" s="16"/>
    </row>
    <row r="21" spans="1:30" ht="12.75" customHeight="1">
      <c r="A21" s="110" t="s">
        <v>29</v>
      </c>
      <c r="B21" s="6" t="s">
        <v>29</v>
      </c>
      <c r="C21" s="6" t="s">
        <v>50</v>
      </c>
      <c r="D21" s="6" t="s">
        <v>42</v>
      </c>
      <c r="E21" s="13">
        <v>112000</v>
      </c>
      <c r="F21" s="13">
        <v>0</v>
      </c>
      <c r="G21" s="13">
        <v>32262</v>
      </c>
      <c r="H21" s="108">
        <f t="shared" si="1"/>
        <v>79738</v>
      </c>
      <c r="I21" s="8"/>
      <c r="J21" s="8"/>
      <c r="K21" s="8"/>
      <c r="L21" s="8"/>
      <c r="M21" s="8"/>
      <c r="N21" s="17"/>
      <c r="O21" s="8"/>
      <c r="P21" s="8"/>
      <c r="Q21" s="13">
        <v>0.52</v>
      </c>
      <c r="R21" s="13">
        <f t="shared" si="0"/>
        <v>41463.760000000002</v>
      </c>
      <c r="S21" s="8"/>
      <c r="T21" s="9">
        <v>10000</v>
      </c>
      <c r="U21" s="15" t="str">
        <f t="shared" si="2"/>
        <v/>
      </c>
      <c r="V21" s="15"/>
      <c r="W21" s="15"/>
      <c r="X21" s="15"/>
      <c r="Y21" s="15"/>
      <c r="Z21" s="15"/>
      <c r="AA21" s="15"/>
      <c r="AB21" s="15"/>
      <c r="AC21" s="15"/>
      <c r="AD21" s="16"/>
    </row>
    <row r="22" spans="1:30" ht="12.75" customHeight="1">
      <c r="A22" s="110" t="s">
        <v>29</v>
      </c>
      <c r="B22" s="6" t="s">
        <v>29</v>
      </c>
      <c r="C22" s="6" t="s">
        <v>52</v>
      </c>
      <c r="D22" s="6" t="s">
        <v>483</v>
      </c>
      <c r="E22" s="13">
        <v>500</v>
      </c>
      <c r="F22" s="13"/>
      <c r="G22" s="13"/>
      <c r="H22" s="108">
        <f t="shared" si="1"/>
        <v>500</v>
      </c>
      <c r="I22" s="8"/>
      <c r="J22" s="8"/>
      <c r="K22" s="8"/>
      <c r="L22" s="8"/>
      <c r="M22" s="8"/>
      <c r="N22" s="17"/>
      <c r="O22" s="8"/>
      <c r="P22" s="8"/>
      <c r="Q22" s="13">
        <v>0.18</v>
      </c>
      <c r="R22" s="13">
        <f t="shared" si="0"/>
        <v>90</v>
      </c>
      <c r="S22" s="8"/>
      <c r="T22" s="9">
        <v>0</v>
      </c>
      <c r="U22" s="15" t="str">
        <f t="shared" si="2"/>
        <v/>
      </c>
      <c r="V22" s="15"/>
      <c r="W22" s="15"/>
      <c r="X22" s="15"/>
      <c r="Y22" s="15"/>
      <c r="Z22" s="15"/>
      <c r="AA22" s="15"/>
      <c r="AB22" s="15"/>
      <c r="AC22" s="15"/>
      <c r="AD22" s="16"/>
    </row>
    <row r="23" spans="1:30" ht="12.75" customHeight="1">
      <c r="A23" s="110" t="s">
        <v>29</v>
      </c>
      <c r="B23" s="6" t="s">
        <v>51</v>
      </c>
      <c r="C23" s="12" t="s">
        <v>52</v>
      </c>
      <c r="D23" s="12" t="s">
        <v>42</v>
      </c>
      <c r="E23" s="13">
        <v>0</v>
      </c>
      <c r="F23" s="13">
        <v>0</v>
      </c>
      <c r="G23" s="13">
        <v>0</v>
      </c>
      <c r="H23" s="108">
        <f t="shared" si="1"/>
        <v>0</v>
      </c>
      <c r="I23" s="8"/>
      <c r="J23" s="8"/>
      <c r="K23" s="8"/>
      <c r="L23" s="8"/>
      <c r="M23" s="8"/>
      <c r="N23" s="8"/>
      <c r="O23" s="8"/>
      <c r="P23" s="8"/>
      <c r="Q23" s="13">
        <v>0.09</v>
      </c>
      <c r="R23" s="13">
        <f t="shared" si="0"/>
        <v>0</v>
      </c>
      <c r="S23" s="8"/>
      <c r="T23" s="9">
        <v>0</v>
      </c>
      <c r="U23" s="15" t="str">
        <f t="shared" si="2"/>
        <v/>
      </c>
      <c r="V23" s="15"/>
      <c r="W23" s="15"/>
      <c r="X23" s="15"/>
      <c r="Y23" s="15"/>
      <c r="Z23" s="15"/>
      <c r="AA23" s="15"/>
      <c r="AB23" s="15"/>
      <c r="AC23" s="15"/>
      <c r="AD23" s="16"/>
    </row>
    <row r="24" spans="1:30" ht="12.75" customHeight="1">
      <c r="A24" s="110" t="s">
        <v>53</v>
      </c>
      <c r="B24" s="12" t="s">
        <v>54</v>
      </c>
      <c r="C24" s="12" t="s">
        <v>55</v>
      </c>
      <c r="D24" s="12"/>
      <c r="E24" s="13">
        <v>0</v>
      </c>
      <c r="F24" s="13">
        <v>0</v>
      </c>
      <c r="G24" s="13">
        <v>0</v>
      </c>
      <c r="H24" s="108">
        <f t="shared" si="1"/>
        <v>0</v>
      </c>
      <c r="I24" s="13">
        <v>0</v>
      </c>
      <c r="J24" s="13">
        <v>1</v>
      </c>
      <c r="K24" s="13">
        <f>H24+I24-J24</f>
        <v>-1</v>
      </c>
      <c r="L24" s="13">
        <v>1.3</v>
      </c>
      <c r="M24" s="13">
        <f>K24*L24</f>
        <v>-1.3</v>
      </c>
      <c r="N24" s="8"/>
      <c r="O24" s="13">
        <v>400</v>
      </c>
      <c r="P24" s="13">
        <f>K24*O24</f>
        <v>-400</v>
      </c>
      <c r="Q24" s="13">
        <v>450</v>
      </c>
      <c r="R24" s="13">
        <f t="shared" si="0"/>
        <v>0</v>
      </c>
      <c r="S24" s="8"/>
      <c r="T24" s="9">
        <v>0</v>
      </c>
      <c r="U24" s="15" t="str">
        <f t="shared" si="2"/>
        <v/>
      </c>
      <c r="V24" s="15"/>
      <c r="W24" s="15"/>
      <c r="X24" s="15"/>
      <c r="Y24" s="15"/>
      <c r="Z24" s="15"/>
      <c r="AA24" s="15"/>
      <c r="AB24" s="15"/>
      <c r="AC24" s="15"/>
      <c r="AD24" s="16"/>
    </row>
    <row r="25" spans="1:30" ht="12.75" customHeight="1">
      <c r="A25" s="110" t="s">
        <v>56</v>
      </c>
      <c r="B25" s="6" t="s">
        <v>57</v>
      </c>
      <c r="C25" s="12" t="s">
        <v>58</v>
      </c>
      <c r="D25" s="12" t="s">
        <v>59</v>
      </c>
      <c r="E25" s="13">
        <v>1000</v>
      </c>
      <c r="F25" s="13">
        <v>2000</v>
      </c>
      <c r="G25" s="13">
        <v>2000</v>
      </c>
      <c r="H25" s="108">
        <f t="shared" si="1"/>
        <v>1000</v>
      </c>
      <c r="I25" s="13">
        <v>1000</v>
      </c>
      <c r="J25" s="13">
        <v>3000</v>
      </c>
      <c r="K25" s="13">
        <f>H25+I25-J25</f>
        <v>-1000</v>
      </c>
      <c r="L25" s="13">
        <v>1.35</v>
      </c>
      <c r="M25" s="13">
        <f>K25*L25</f>
        <v>-1350</v>
      </c>
      <c r="N25" s="8"/>
      <c r="O25" s="13">
        <v>1.35</v>
      </c>
      <c r="P25" s="13">
        <f>K25*O25</f>
        <v>-1350</v>
      </c>
      <c r="Q25" s="13">
        <v>1.35</v>
      </c>
      <c r="R25" s="13">
        <f t="shared" si="0"/>
        <v>1350</v>
      </c>
      <c r="S25" s="8"/>
      <c r="T25" s="9">
        <v>1000</v>
      </c>
      <c r="U25" s="15" t="str">
        <f t="shared" si="2"/>
        <v/>
      </c>
      <c r="V25" s="15"/>
      <c r="W25" s="15"/>
      <c r="X25" s="15"/>
      <c r="Y25" s="15"/>
      <c r="Z25" s="15"/>
      <c r="AA25" s="15"/>
      <c r="AB25" s="15"/>
      <c r="AC25" s="15"/>
      <c r="AD25" s="16"/>
    </row>
    <row r="26" spans="1:30" ht="12.75" customHeight="1">
      <c r="A26" s="110" t="s">
        <v>56</v>
      </c>
      <c r="B26" s="6" t="s">
        <v>60</v>
      </c>
      <c r="C26" s="12" t="s">
        <v>61</v>
      </c>
      <c r="D26" s="12" t="s">
        <v>59</v>
      </c>
      <c r="E26" s="13">
        <v>200</v>
      </c>
      <c r="F26" s="13">
        <v>0</v>
      </c>
      <c r="G26" s="13">
        <v>0</v>
      </c>
      <c r="H26" s="108">
        <f t="shared" si="1"/>
        <v>200</v>
      </c>
      <c r="I26" s="13">
        <v>1270</v>
      </c>
      <c r="J26" s="13">
        <v>500</v>
      </c>
      <c r="K26" s="13">
        <f>H26+I26-J26</f>
        <v>970</v>
      </c>
      <c r="L26" s="13">
        <v>9</v>
      </c>
      <c r="M26" s="13">
        <f>K26*L26</f>
        <v>8730</v>
      </c>
      <c r="N26" s="8"/>
      <c r="O26" s="13">
        <v>9</v>
      </c>
      <c r="P26" s="13">
        <f>K26*O26</f>
        <v>8730</v>
      </c>
      <c r="Q26" s="13">
        <v>10.119999999999999</v>
      </c>
      <c r="R26" s="13">
        <f t="shared" si="0"/>
        <v>2023.9999999999998</v>
      </c>
      <c r="S26" s="8"/>
      <c r="T26" s="9">
        <v>500</v>
      </c>
      <c r="U26" s="15" t="str">
        <f t="shared" si="2"/>
        <v>Y</v>
      </c>
      <c r="V26" s="15"/>
      <c r="W26" s="15"/>
      <c r="X26" s="15"/>
      <c r="Y26" s="15"/>
      <c r="Z26" s="15"/>
      <c r="AA26" s="15"/>
      <c r="AB26" s="15"/>
      <c r="AC26" s="15"/>
      <c r="AD26" s="16"/>
    </row>
    <row r="27" spans="1:30" ht="12.75" customHeight="1">
      <c r="A27" s="110" t="s">
        <v>56</v>
      </c>
      <c r="B27" s="12" t="s">
        <v>62</v>
      </c>
      <c r="C27" s="12" t="s">
        <v>63</v>
      </c>
      <c r="D27" s="19" t="s">
        <v>64</v>
      </c>
      <c r="E27" s="13">
        <v>300</v>
      </c>
      <c r="F27" s="13">
        <v>0</v>
      </c>
      <c r="G27" s="13">
        <v>250</v>
      </c>
      <c r="H27" s="108">
        <f t="shared" si="1"/>
        <v>50</v>
      </c>
      <c r="I27" s="8"/>
      <c r="J27" s="8"/>
      <c r="K27" s="8"/>
      <c r="L27" s="8"/>
      <c r="M27" s="8"/>
      <c r="N27" s="8"/>
      <c r="O27" s="8"/>
      <c r="P27" s="8"/>
      <c r="Q27" s="13">
        <v>30</v>
      </c>
      <c r="R27" s="13">
        <f t="shared" si="0"/>
        <v>1500</v>
      </c>
      <c r="S27" s="8"/>
      <c r="T27" s="9">
        <v>200</v>
      </c>
      <c r="U27" s="15" t="str">
        <f t="shared" si="2"/>
        <v>Y</v>
      </c>
      <c r="V27" s="15"/>
      <c r="W27" s="15"/>
      <c r="X27" s="15"/>
      <c r="Y27" s="15"/>
      <c r="Z27" s="15"/>
      <c r="AA27" s="15"/>
      <c r="AB27" s="15"/>
      <c r="AC27" s="15"/>
      <c r="AD27" s="16"/>
    </row>
    <row r="28" spans="1:30" ht="12.75" customHeight="1">
      <c r="A28" s="110" t="s">
        <v>56</v>
      </c>
      <c r="B28" s="12" t="s">
        <v>62</v>
      </c>
      <c r="C28" s="12" t="s">
        <v>65</v>
      </c>
      <c r="D28" s="19" t="s">
        <v>66</v>
      </c>
      <c r="E28" s="13">
        <v>1000</v>
      </c>
      <c r="F28" s="13"/>
      <c r="G28" s="13">
        <v>900</v>
      </c>
      <c r="H28" s="108">
        <f t="shared" si="1"/>
        <v>100</v>
      </c>
      <c r="I28" s="8"/>
      <c r="J28" s="8"/>
      <c r="K28" s="8"/>
      <c r="L28" s="8"/>
      <c r="M28" s="8"/>
      <c r="N28" s="8"/>
      <c r="O28" s="8"/>
      <c r="P28" s="8"/>
      <c r="Q28" s="13">
        <v>12.95</v>
      </c>
      <c r="R28" s="13">
        <f t="shared" si="0"/>
        <v>1295</v>
      </c>
      <c r="S28" s="8"/>
      <c r="T28" s="9">
        <v>500</v>
      </c>
      <c r="U28" s="15" t="str">
        <f t="shared" si="2"/>
        <v>Y</v>
      </c>
      <c r="V28" s="15"/>
      <c r="W28" s="15"/>
      <c r="X28" s="15"/>
      <c r="Y28" s="15"/>
      <c r="Z28" s="15"/>
      <c r="AA28" s="15"/>
      <c r="AB28" s="15"/>
      <c r="AC28" s="15"/>
      <c r="AD28" s="16"/>
    </row>
    <row r="29" spans="1:30" ht="12.75" customHeight="1">
      <c r="A29" s="110" t="s">
        <v>56</v>
      </c>
      <c r="B29" s="12" t="s">
        <v>67</v>
      </c>
      <c r="C29" s="12" t="s">
        <v>68</v>
      </c>
      <c r="D29" s="6" t="s">
        <v>69</v>
      </c>
      <c r="E29" s="13">
        <v>2000</v>
      </c>
      <c r="F29" s="13">
        <v>0</v>
      </c>
      <c r="G29" s="13">
        <v>0</v>
      </c>
      <c r="H29" s="108">
        <f t="shared" si="1"/>
        <v>2000</v>
      </c>
      <c r="I29" s="8"/>
      <c r="J29" s="8"/>
      <c r="K29" s="8"/>
      <c r="L29" s="8"/>
      <c r="M29" s="8"/>
      <c r="N29" s="8"/>
      <c r="O29" s="8"/>
      <c r="P29" s="8"/>
      <c r="Q29" s="13">
        <v>1</v>
      </c>
      <c r="R29" s="13">
        <f t="shared" si="0"/>
        <v>2000</v>
      </c>
      <c r="S29" s="8" t="s">
        <v>518</v>
      </c>
      <c r="T29" s="9">
        <v>1000</v>
      </c>
      <c r="U29" s="15" t="str">
        <f t="shared" si="2"/>
        <v/>
      </c>
      <c r="V29" s="15"/>
      <c r="W29" s="15"/>
      <c r="X29" s="15"/>
      <c r="Y29" s="15"/>
      <c r="Z29" s="15"/>
      <c r="AA29" s="15"/>
      <c r="AB29" s="15"/>
      <c r="AC29" s="15"/>
      <c r="AD29" s="16"/>
    </row>
    <row r="30" spans="1:30" ht="12.75" customHeight="1">
      <c r="A30" s="110" t="s">
        <v>56</v>
      </c>
      <c r="B30" s="12" t="s">
        <v>67</v>
      </c>
      <c r="C30" s="12" t="s">
        <v>70</v>
      </c>
      <c r="D30" s="6" t="s">
        <v>69</v>
      </c>
      <c r="E30" s="13">
        <v>2000</v>
      </c>
      <c r="F30" s="13">
        <v>0</v>
      </c>
      <c r="G30" s="13">
        <v>0</v>
      </c>
      <c r="H30" s="108">
        <f t="shared" si="1"/>
        <v>2000</v>
      </c>
      <c r="I30" s="8"/>
      <c r="J30" s="8"/>
      <c r="K30" s="8"/>
      <c r="L30" s="8"/>
      <c r="M30" s="8"/>
      <c r="N30" s="8"/>
      <c r="O30" s="8"/>
      <c r="P30" s="8"/>
      <c r="Q30" s="13">
        <v>1.5</v>
      </c>
      <c r="R30" s="13">
        <f t="shared" si="0"/>
        <v>3000</v>
      </c>
      <c r="S30" s="8" t="s">
        <v>518</v>
      </c>
      <c r="T30" s="9">
        <v>1000</v>
      </c>
      <c r="U30" s="15" t="str">
        <f t="shared" si="2"/>
        <v/>
      </c>
      <c r="V30" s="15"/>
      <c r="W30" s="15"/>
      <c r="X30" s="15"/>
      <c r="Y30" s="15"/>
      <c r="Z30" s="15"/>
      <c r="AA30" s="15"/>
      <c r="AB30" s="15"/>
      <c r="AC30" s="15"/>
      <c r="AD30" s="16"/>
    </row>
    <row r="31" spans="1:30" ht="12.75" customHeight="1">
      <c r="A31" s="110" t="s">
        <v>71</v>
      </c>
      <c r="B31" s="12" t="s">
        <v>72</v>
      </c>
      <c r="C31" s="12"/>
      <c r="D31" s="6"/>
      <c r="E31" s="13">
        <v>120</v>
      </c>
      <c r="F31" s="13">
        <v>0</v>
      </c>
      <c r="G31" s="13">
        <v>120</v>
      </c>
      <c r="H31" s="108">
        <f t="shared" si="1"/>
        <v>0</v>
      </c>
      <c r="I31" s="8"/>
      <c r="J31" s="8"/>
      <c r="K31" s="8"/>
      <c r="L31" s="8"/>
      <c r="M31" s="8"/>
      <c r="N31" s="8"/>
      <c r="O31" s="8"/>
      <c r="P31" s="8"/>
      <c r="Q31" s="13">
        <v>8.5</v>
      </c>
      <c r="R31" s="13">
        <f t="shared" si="0"/>
        <v>0</v>
      </c>
      <c r="S31" s="8" t="s">
        <v>518</v>
      </c>
      <c r="T31" s="9">
        <v>0</v>
      </c>
      <c r="U31" s="15" t="str">
        <f t="shared" si="2"/>
        <v/>
      </c>
      <c r="V31" s="15"/>
      <c r="W31" s="15"/>
      <c r="X31" s="15"/>
      <c r="Y31" s="15"/>
      <c r="Z31" s="15"/>
      <c r="AA31" s="15"/>
      <c r="AB31" s="15"/>
      <c r="AC31" s="15"/>
      <c r="AD31" s="16"/>
    </row>
    <row r="32" spans="1:30" ht="12.75" customHeight="1">
      <c r="A32" s="110" t="s">
        <v>71</v>
      </c>
      <c r="B32" s="12" t="s">
        <v>73</v>
      </c>
      <c r="C32" s="12"/>
      <c r="D32" s="6"/>
      <c r="E32" s="13">
        <v>120</v>
      </c>
      <c r="F32" s="13">
        <v>0</v>
      </c>
      <c r="G32" s="13">
        <v>120</v>
      </c>
      <c r="H32" s="108">
        <f t="shared" si="1"/>
        <v>0</v>
      </c>
      <c r="I32" s="8"/>
      <c r="J32" s="8"/>
      <c r="K32" s="8"/>
      <c r="L32" s="8"/>
      <c r="M32" s="8"/>
      <c r="N32" s="8"/>
      <c r="O32" s="8"/>
      <c r="P32" s="8"/>
      <c r="Q32" s="13">
        <v>8.5</v>
      </c>
      <c r="R32" s="13">
        <f t="shared" si="0"/>
        <v>0</v>
      </c>
      <c r="S32" s="8" t="s">
        <v>518</v>
      </c>
      <c r="T32" s="9">
        <v>0</v>
      </c>
      <c r="U32" s="15" t="str">
        <f t="shared" si="2"/>
        <v/>
      </c>
      <c r="V32" s="15"/>
      <c r="W32" s="15"/>
      <c r="X32" s="15"/>
      <c r="Y32" s="15"/>
      <c r="Z32" s="15"/>
      <c r="AA32" s="15"/>
      <c r="AB32" s="15"/>
      <c r="AC32" s="20" t="s">
        <v>79</v>
      </c>
      <c r="AD32" s="16"/>
    </row>
    <row r="33" spans="1:30" ht="12.75" customHeight="1">
      <c r="A33" s="110" t="s">
        <v>71</v>
      </c>
      <c r="B33" s="12" t="s">
        <v>74</v>
      </c>
      <c r="C33" s="12"/>
      <c r="D33" s="6"/>
      <c r="E33" s="13">
        <v>0</v>
      </c>
      <c r="F33" s="13">
        <v>0</v>
      </c>
      <c r="G33" s="13">
        <v>0</v>
      </c>
      <c r="H33" s="108">
        <f t="shared" si="1"/>
        <v>0</v>
      </c>
      <c r="I33" s="8"/>
      <c r="J33" s="8"/>
      <c r="K33" s="8"/>
      <c r="L33" s="8"/>
      <c r="M33" s="8"/>
      <c r="N33" s="8"/>
      <c r="O33" s="8"/>
      <c r="P33" s="8"/>
      <c r="Q33" s="13">
        <v>11</v>
      </c>
      <c r="R33" s="13">
        <f t="shared" si="0"/>
        <v>0</v>
      </c>
      <c r="S33" s="8" t="s">
        <v>518</v>
      </c>
      <c r="T33" s="9">
        <v>0</v>
      </c>
      <c r="U33" s="15" t="str">
        <f t="shared" si="2"/>
        <v/>
      </c>
      <c r="V33" s="15"/>
      <c r="W33" s="15"/>
      <c r="X33" s="15"/>
      <c r="Y33" s="15"/>
      <c r="Z33" s="15"/>
      <c r="AA33" s="15"/>
      <c r="AB33" s="15"/>
      <c r="AC33" s="15"/>
      <c r="AD33" s="16"/>
    </row>
    <row r="34" spans="1:30" ht="12.75" customHeight="1">
      <c r="A34" s="110" t="s">
        <v>75</v>
      </c>
      <c r="B34" s="6" t="s">
        <v>76</v>
      </c>
      <c r="C34" s="6" t="s">
        <v>61</v>
      </c>
      <c r="D34" s="6" t="s">
        <v>76</v>
      </c>
      <c r="E34" s="13">
        <v>150</v>
      </c>
      <c r="F34" s="13">
        <v>0</v>
      </c>
      <c r="G34" s="13">
        <v>30</v>
      </c>
      <c r="H34" s="108">
        <f t="shared" si="1"/>
        <v>120</v>
      </c>
      <c r="I34" s="13">
        <v>300</v>
      </c>
      <c r="J34" s="13">
        <v>150</v>
      </c>
      <c r="K34" s="13">
        <f t="shared" ref="K34:K43" si="3">H34+I34-J34</f>
        <v>270</v>
      </c>
      <c r="L34" s="13">
        <v>3</v>
      </c>
      <c r="M34" s="13">
        <f t="shared" ref="M34:M44" si="4">K34*L34</f>
        <v>810</v>
      </c>
      <c r="N34" s="17"/>
      <c r="O34" s="13">
        <v>3</v>
      </c>
      <c r="P34" s="13">
        <f t="shared" ref="P34:P44" si="5">K34*O34</f>
        <v>810</v>
      </c>
      <c r="Q34" s="13">
        <v>4.0999999999999996</v>
      </c>
      <c r="R34" s="13">
        <f t="shared" si="0"/>
        <v>491.99999999999994</v>
      </c>
      <c r="S34" s="8"/>
      <c r="T34" s="9">
        <v>100</v>
      </c>
      <c r="U34" s="15" t="str">
        <f t="shared" si="2"/>
        <v/>
      </c>
      <c r="V34" s="15"/>
      <c r="W34" s="20" t="s">
        <v>83</v>
      </c>
      <c r="X34" s="15"/>
      <c r="Y34" s="15"/>
      <c r="Z34" s="15"/>
      <c r="AA34" s="15"/>
      <c r="AB34" s="15"/>
      <c r="AC34" s="15"/>
      <c r="AD34" s="16"/>
    </row>
    <row r="35" spans="1:30" ht="12.75" customHeight="1">
      <c r="A35" s="110" t="s">
        <v>75</v>
      </c>
      <c r="B35" s="6" t="s">
        <v>77</v>
      </c>
      <c r="C35" s="6" t="s">
        <v>61</v>
      </c>
      <c r="D35" s="6" t="s">
        <v>77</v>
      </c>
      <c r="E35" s="13">
        <v>100</v>
      </c>
      <c r="F35" s="13">
        <v>0</v>
      </c>
      <c r="G35" s="13">
        <v>0</v>
      </c>
      <c r="H35" s="108">
        <f t="shared" si="1"/>
        <v>100</v>
      </c>
      <c r="I35" s="13">
        <v>0</v>
      </c>
      <c r="J35" s="13">
        <v>0</v>
      </c>
      <c r="K35" s="13">
        <f t="shared" si="3"/>
        <v>100</v>
      </c>
      <c r="L35" s="13">
        <v>2.4</v>
      </c>
      <c r="M35" s="13">
        <f t="shared" si="4"/>
        <v>240</v>
      </c>
      <c r="N35" s="8"/>
      <c r="O35" s="13">
        <v>2.4</v>
      </c>
      <c r="P35" s="13">
        <f t="shared" si="5"/>
        <v>240</v>
      </c>
      <c r="Q35" s="13">
        <v>1.65</v>
      </c>
      <c r="R35" s="13">
        <f t="shared" si="0"/>
        <v>165</v>
      </c>
      <c r="S35" s="8" t="s">
        <v>518</v>
      </c>
      <c r="T35" s="9">
        <v>100</v>
      </c>
      <c r="U35" s="15" t="str">
        <f t="shared" si="2"/>
        <v/>
      </c>
      <c r="V35" s="15"/>
      <c r="W35" s="15"/>
      <c r="X35" s="15"/>
      <c r="Y35" s="15"/>
      <c r="Z35" s="15"/>
      <c r="AA35" s="15"/>
      <c r="AB35" s="15"/>
      <c r="AC35" s="15"/>
      <c r="AD35" s="16"/>
    </row>
    <row r="36" spans="1:30" ht="12.75" customHeight="1">
      <c r="A36" s="110" t="s">
        <v>75</v>
      </c>
      <c r="B36" s="6" t="s">
        <v>78</v>
      </c>
      <c r="C36" s="6" t="s">
        <v>61</v>
      </c>
      <c r="D36" s="6" t="s">
        <v>78</v>
      </c>
      <c r="E36" s="13">
        <v>150</v>
      </c>
      <c r="F36" s="13">
        <v>0</v>
      </c>
      <c r="G36" s="13">
        <v>30</v>
      </c>
      <c r="H36" s="108">
        <f t="shared" si="1"/>
        <v>120</v>
      </c>
      <c r="I36" s="13">
        <v>0</v>
      </c>
      <c r="J36" s="13">
        <v>0</v>
      </c>
      <c r="K36" s="13">
        <f t="shared" si="3"/>
        <v>120</v>
      </c>
      <c r="L36" s="13">
        <v>1.8</v>
      </c>
      <c r="M36" s="13">
        <f t="shared" si="4"/>
        <v>216</v>
      </c>
      <c r="N36" s="17"/>
      <c r="O36" s="13">
        <v>1.8</v>
      </c>
      <c r="P36" s="13">
        <f t="shared" si="5"/>
        <v>216</v>
      </c>
      <c r="Q36" s="13">
        <v>2.4</v>
      </c>
      <c r="R36" s="13">
        <f t="shared" si="0"/>
        <v>288</v>
      </c>
      <c r="S36" s="8"/>
      <c r="T36" s="9">
        <v>100</v>
      </c>
      <c r="U36" s="15" t="str">
        <f t="shared" si="2"/>
        <v/>
      </c>
      <c r="V36" s="15"/>
      <c r="W36" s="15"/>
      <c r="X36" s="15"/>
      <c r="Y36" s="15" t="s">
        <v>83</v>
      </c>
      <c r="Z36" s="15"/>
      <c r="AA36" s="15"/>
      <c r="AB36" s="15"/>
      <c r="AC36" s="15"/>
      <c r="AD36" s="16"/>
    </row>
    <row r="37" spans="1:30" ht="12.75" customHeight="1">
      <c r="A37" s="110" t="s">
        <v>75</v>
      </c>
      <c r="B37" s="6" t="s">
        <v>80</v>
      </c>
      <c r="C37" s="6" t="s">
        <v>61</v>
      </c>
      <c r="D37" s="6" t="s">
        <v>80</v>
      </c>
      <c r="E37" s="13">
        <v>40</v>
      </c>
      <c r="F37" s="13">
        <v>0</v>
      </c>
      <c r="G37" s="13">
        <v>0</v>
      </c>
      <c r="H37" s="108">
        <f t="shared" si="1"/>
        <v>40</v>
      </c>
      <c r="I37" s="13">
        <v>0</v>
      </c>
      <c r="J37" s="13">
        <v>0</v>
      </c>
      <c r="K37" s="13">
        <f t="shared" si="3"/>
        <v>40</v>
      </c>
      <c r="L37" s="13">
        <v>2.65</v>
      </c>
      <c r="M37" s="13">
        <f t="shared" si="4"/>
        <v>106</v>
      </c>
      <c r="N37" s="8"/>
      <c r="O37" s="13">
        <v>2.65</v>
      </c>
      <c r="P37" s="13">
        <f t="shared" si="5"/>
        <v>106</v>
      </c>
      <c r="Q37" s="13">
        <v>3.6</v>
      </c>
      <c r="R37" s="13">
        <f t="shared" si="0"/>
        <v>144</v>
      </c>
      <c r="S37" s="8"/>
      <c r="T37" s="9">
        <v>100</v>
      </c>
      <c r="U37" s="15" t="str">
        <f t="shared" si="2"/>
        <v>Y</v>
      </c>
      <c r="V37" s="15"/>
      <c r="W37" s="15"/>
      <c r="X37" s="15"/>
      <c r="Y37" s="15"/>
      <c r="Z37" s="15"/>
      <c r="AA37" s="15"/>
      <c r="AB37" s="15"/>
      <c r="AC37" s="15"/>
      <c r="AD37" s="16"/>
    </row>
    <row r="38" spans="1:30" ht="12.75" customHeight="1">
      <c r="A38" s="110" t="s">
        <v>75</v>
      </c>
      <c r="B38" s="6" t="s">
        <v>81</v>
      </c>
      <c r="C38" s="6" t="s">
        <v>61</v>
      </c>
      <c r="D38" s="6" t="s">
        <v>82</v>
      </c>
      <c r="E38" s="13">
        <v>500</v>
      </c>
      <c r="F38" s="13">
        <v>0</v>
      </c>
      <c r="G38" s="13">
        <v>100</v>
      </c>
      <c r="H38" s="108">
        <f t="shared" si="1"/>
        <v>400</v>
      </c>
      <c r="I38" s="13">
        <v>0</v>
      </c>
      <c r="J38" s="13">
        <v>0</v>
      </c>
      <c r="K38" s="13">
        <f t="shared" si="3"/>
        <v>400</v>
      </c>
      <c r="L38" s="13">
        <v>9</v>
      </c>
      <c r="M38" s="13">
        <f t="shared" si="4"/>
        <v>3600</v>
      </c>
      <c r="N38" s="17"/>
      <c r="O38" s="13">
        <v>9</v>
      </c>
      <c r="P38" s="13">
        <f t="shared" si="5"/>
        <v>3600</v>
      </c>
      <c r="Q38" s="13">
        <v>7.8</v>
      </c>
      <c r="R38" s="13">
        <f t="shared" si="0"/>
        <v>3120</v>
      </c>
      <c r="S38" s="8"/>
      <c r="T38" s="9">
        <v>200</v>
      </c>
      <c r="U38" s="15" t="str">
        <f t="shared" si="2"/>
        <v/>
      </c>
      <c r="V38" s="15"/>
      <c r="W38" s="15"/>
      <c r="X38" s="15"/>
      <c r="Y38" s="15"/>
      <c r="Z38" s="15"/>
      <c r="AA38" s="15"/>
      <c r="AB38" s="15"/>
      <c r="AC38" s="15"/>
      <c r="AD38" s="16"/>
    </row>
    <row r="39" spans="1:30" ht="12.75" customHeight="1">
      <c r="A39" s="110" t="s">
        <v>75</v>
      </c>
      <c r="B39" s="6" t="s">
        <v>84</v>
      </c>
      <c r="C39" s="6" t="s">
        <v>61</v>
      </c>
      <c r="D39" s="6" t="s">
        <v>85</v>
      </c>
      <c r="E39" s="13">
        <v>1000</v>
      </c>
      <c r="F39" s="13">
        <v>0</v>
      </c>
      <c r="G39" s="13">
        <v>0</v>
      </c>
      <c r="H39" s="108">
        <f t="shared" si="1"/>
        <v>1000</v>
      </c>
      <c r="I39" s="13">
        <v>0</v>
      </c>
      <c r="J39" s="13">
        <v>0</v>
      </c>
      <c r="K39" s="13">
        <f t="shared" si="3"/>
        <v>1000</v>
      </c>
      <c r="L39" s="13">
        <v>7.2</v>
      </c>
      <c r="M39" s="13">
        <f t="shared" si="4"/>
        <v>7200</v>
      </c>
      <c r="N39" s="8"/>
      <c r="O39" s="13">
        <v>7.2</v>
      </c>
      <c r="P39" s="13">
        <f t="shared" si="5"/>
        <v>7200</v>
      </c>
      <c r="Q39" s="13">
        <v>5.0999999999999996</v>
      </c>
      <c r="R39" s="13">
        <f t="shared" si="0"/>
        <v>5100</v>
      </c>
      <c r="S39" s="8"/>
      <c r="T39" s="9">
        <v>0</v>
      </c>
      <c r="U39" s="15" t="str">
        <f t="shared" si="2"/>
        <v/>
      </c>
      <c r="V39" s="15"/>
      <c r="W39" s="15"/>
      <c r="X39" s="15"/>
      <c r="Y39" s="15"/>
      <c r="Z39" s="15"/>
      <c r="AA39" s="15"/>
      <c r="AB39" s="15"/>
      <c r="AC39" s="15"/>
      <c r="AD39" s="16"/>
    </row>
    <row r="40" spans="1:30" ht="12.75" customHeight="1">
      <c r="A40" s="110" t="s">
        <v>86</v>
      </c>
      <c r="B40" s="6" t="s">
        <v>87</v>
      </c>
      <c r="C40" s="6" t="s">
        <v>88</v>
      </c>
      <c r="D40" s="6" t="s">
        <v>89</v>
      </c>
      <c r="E40" s="13">
        <v>740</v>
      </c>
      <c r="F40" s="13">
        <v>0</v>
      </c>
      <c r="G40" s="13">
        <v>0</v>
      </c>
      <c r="H40" s="108">
        <f t="shared" si="1"/>
        <v>740</v>
      </c>
      <c r="I40" s="13">
        <v>0</v>
      </c>
      <c r="J40" s="13">
        <v>0</v>
      </c>
      <c r="K40" s="13">
        <f t="shared" si="3"/>
        <v>740</v>
      </c>
      <c r="L40" s="13">
        <v>3.5</v>
      </c>
      <c r="M40" s="13">
        <f t="shared" si="4"/>
        <v>2590</v>
      </c>
      <c r="N40" s="19" t="s">
        <v>90</v>
      </c>
      <c r="O40" s="13">
        <v>1.4</v>
      </c>
      <c r="P40" s="13">
        <f t="shared" si="5"/>
        <v>1036</v>
      </c>
      <c r="Q40" s="13">
        <v>1.4</v>
      </c>
      <c r="R40" s="13">
        <f t="shared" si="0"/>
        <v>1036</v>
      </c>
      <c r="S40" s="8"/>
      <c r="T40" s="9">
        <v>200</v>
      </c>
      <c r="U40" s="15" t="str">
        <f t="shared" si="2"/>
        <v/>
      </c>
      <c r="V40" s="15"/>
      <c r="W40" s="15"/>
      <c r="X40" s="15"/>
      <c r="Y40" s="15"/>
      <c r="Z40" s="15"/>
      <c r="AA40" s="15"/>
      <c r="AB40" s="15"/>
      <c r="AC40" s="15"/>
      <c r="AD40" s="16"/>
    </row>
    <row r="41" spans="1:30" ht="12.75" customHeight="1">
      <c r="A41" s="110" t="s">
        <v>91</v>
      </c>
      <c r="B41" s="12" t="s">
        <v>92</v>
      </c>
      <c r="C41" s="6" t="s">
        <v>93</v>
      </c>
      <c r="D41" s="12" t="s">
        <v>94</v>
      </c>
      <c r="E41" s="13">
        <v>500</v>
      </c>
      <c r="F41" s="13">
        <v>0</v>
      </c>
      <c r="G41" s="13">
        <v>0</v>
      </c>
      <c r="H41" s="108">
        <f t="shared" si="1"/>
        <v>500</v>
      </c>
      <c r="I41" s="13">
        <v>0</v>
      </c>
      <c r="J41" s="13">
        <v>0</v>
      </c>
      <c r="K41" s="13">
        <f t="shared" si="3"/>
        <v>500</v>
      </c>
      <c r="L41" s="13">
        <v>1.2</v>
      </c>
      <c r="M41" s="13">
        <f t="shared" si="4"/>
        <v>600</v>
      </c>
      <c r="N41" s="17"/>
      <c r="O41" s="13">
        <v>1.2</v>
      </c>
      <c r="P41" s="13">
        <f t="shared" si="5"/>
        <v>600</v>
      </c>
      <c r="Q41" s="13">
        <v>10</v>
      </c>
      <c r="R41" s="13">
        <f t="shared" si="0"/>
        <v>5000</v>
      </c>
      <c r="S41" s="8"/>
      <c r="T41" s="9">
        <v>0</v>
      </c>
      <c r="U41" s="15" t="str">
        <f t="shared" si="2"/>
        <v/>
      </c>
      <c r="V41" s="15"/>
      <c r="W41" s="15"/>
      <c r="X41" s="15"/>
      <c r="Y41" s="15"/>
      <c r="Z41" s="15"/>
      <c r="AA41" s="15"/>
      <c r="AB41" s="15"/>
      <c r="AC41" s="15"/>
      <c r="AD41" s="16"/>
    </row>
    <row r="42" spans="1:30" ht="12.75" customHeight="1">
      <c r="A42" s="110" t="s">
        <v>91</v>
      </c>
      <c r="B42" s="6" t="s">
        <v>95</v>
      </c>
      <c r="C42" s="6" t="s">
        <v>96</v>
      </c>
      <c r="D42" s="12" t="s">
        <v>69</v>
      </c>
      <c r="E42" s="13">
        <v>6500</v>
      </c>
      <c r="F42" s="13">
        <v>0</v>
      </c>
      <c r="G42" s="13">
        <v>310</v>
      </c>
      <c r="H42" s="108">
        <f t="shared" si="1"/>
        <v>6190</v>
      </c>
      <c r="I42" s="13">
        <v>0</v>
      </c>
      <c r="J42" s="13">
        <v>1000</v>
      </c>
      <c r="K42" s="13">
        <f t="shared" si="3"/>
        <v>5190</v>
      </c>
      <c r="L42" s="13">
        <v>0.78</v>
      </c>
      <c r="M42" s="13">
        <f t="shared" si="4"/>
        <v>4048.2000000000003</v>
      </c>
      <c r="N42" s="8"/>
      <c r="O42" s="13">
        <v>0.78</v>
      </c>
      <c r="P42" s="13">
        <f t="shared" si="5"/>
        <v>4048.2000000000003</v>
      </c>
      <c r="Q42" s="13">
        <v>0.72</v>
      </c>
      <c r="R42" s="13">
        <f t="shared" si="0"/>
        <v>4456.8</v>
      </c>
      <c r="S42" s="8"/>
      <c r="T42" s="9">
        <v>0</v>
      </c>
      <c r="U42" s="15" t="str">
        <f t="shared" si="2"/>
        <v/>
      </c>
      <c r="V42" s="15"/>
      <c r="W42" s="15"/>
      <c r="X42" s="15"/>
      <c r="Y42" s="15"/>
      <c r="Z42" s="15"/>
      <c r="AA42" s="15"/>
      <c r="AB42" s="15"/>
      <c r="AC42" s="15"/>
      <c r="AD42" s="16"/>
    </row>
    <row r="43" spans="1:30" ht="12.75" customHeight="1">
      <c r="A43" s="110" t="s">
        <v>91</v>
      </c>
      <c r="B43" s="6" t="s">
        <v>95</v>
      </c>
      <c r="C43" s="6" t="s">
        <v>97</v>
      </c>
      <c r="D43" s="12" t="s">
        <v>69</v>
      </c>
      <c r="E43" s="13">
        <v>2000</v>
      </c>
      <c r="F43" s="13">
        <v>0</v>
      </c>
      <c r="G43" s="13">
        <v>0</v>
      </c>
      <c r="H43" s="108">
        <f t="shared" si="1"/>
        <v>2000</v>
      </c>
      <c r="I43" s="13">
        <v>0</v>
      </c>
      <c r="J43" s="13">
        <v>0</v>
      </c>
      <c r="K43" s="13">
        <f t="shared" si="3"/>
        <v>2000</v>
      </c>
      <c r="L43" s="13">
        <v>0.24</v>
      </c>
      <c r="M43" s="13">
        <f t="shared" si="4"/>
        <v>480</v>
      </c>
      <c r="N43" s="8"/>
      <c r="O43" s="13">
        <v>0.24</v>
      </c>
      <c r="P43" s="13">
        <f t="shared" si="5"/>
        <v>480</v>
      </c>
      <c r="Q43" s="13">
        <v>0.3</v>
      </c>
      <c r="R43" s="13">
        <f t="shared" si="0"/>
        <v>600</v>
      </c>
      <c r="S43" s="8"/>
      <c r="T43" s="9">
        <v>0</v>
      </c>
      <c r="U43" s="15" t="str">
        <f t="shared" si="2"/>
        <v/>
      </c>
      <c r="V43" s="15"/>
      <c r="W43" s="15"/>
      <c r="X43" s="15"/>
      <c r="Y43" s="15"/>
      <c r="Z43" s="15"/>
      <c r="AA43" s="15"/>
      <c r="AB43" s="15"/>
      <c r="AC43" s="15"/>
      <c r="AD43" s="16"/>
    </row>
    <row r="44" spans="1:30" ht="12.75" customHeight="1">
      <c r="A44" s="110" t="s">
        <v>91</v>
      </c>
      <c r="B44" s="6" t="s">
        <v>95</v>
      </c>
      <c r="C44" s="6" t="s">
        <v>98</v>
      </c>
      <c r="D44" s="12" t="s">
        <v>69</v>
      </c>
      <c r="E44" s="13">
        <v>16000</v>
      </c>
      <c r="F44" s="13">
        <v>18000</v>
      </c>
      <c r="G44" s="13">
        <v>24000</v>
      </c>
      <c r="H44" s="108">
        <f t="shared" si="1"/>
        <v>10000</v>
      </c>
      <c r="I44" s="13">
        <v>10000</v>
      </c>
      <c r="J44" s="13">
        <v>15000</v>
      </c>
      <c r="K44" s="13" t="e">
        <f>#REF!+I44-J44</f>
        <v>#REF!</v>
      </c>
      <c r="L44" s="13">
        <v>0.33</v>
      </c>
      <c r="M44" s="13" t="e">
        <f t="shared" si="4"/>
        <v>#REF!</v>
      </c>
      <c r="N44" s="8"/>
      <c r="O44" s="13">
        <v>0.36</v>
      </c>
      <c r="P44" s="13" t="e">
        <f t="shared" si="5"/>
        <v>#REF!</v>
      </c>
      <c r="Q44" s="13">
        <v>0.48</v>
      </c>
      <c r="R44" s="13">
        <f t="shared" si="0"/>
        <v>4800</v>
      </c>
      <c r="S44" s="8"/>
      <c r="T44" s="9">
        <v>4000</v>
      </c>
      <c r="U44" s="15" t="str">
        <f t="shared" si="2"/>
        <v/>
      </c>
      <c r="V44" s="15"/>
      <c r="W44" s="15"/>
      <c r="X44" s="15"/>
      <c r="Y44" s="15"/>
      <c r="Z44" s="15"/>
      <c r="AA44" s="15"/>
      <c r="AB44" s="15"/>
      <c r="AC44" s="15"/>
      <c r="AD44" s="16"/>
    </row>
    <row r="45" spans="1:30" ht="12.75" customHeight="1">
      <c r="A45" s="110" t="s">
        <v>91</v>
      </c>
      <c r="B45" s="6" t="s">
        <v>95</v>
      </c>
      <c r="C45" s="6" t="s">
        <v>472</v>
      </c>
      <c r="D45" s="12" t="s">
        <v>69</v>
      </c>
      <c r="E45" s="13">
        <v>1400</v>
      </c>
      <c r="F45" s="13">
        <v>0</v>
      </c>
      <c r="G45" s="13">
        <v>0</v>
      </c>
      <c r="H45" s="108">
        <f t="shared" si="1"/>
        <v>1400</v>
      </c>
      <c r="I45" s="13"/>
      <c r="J45" s="13"/>
      <c r="K45" s="13"/>
      <c r="L45" s="13"/>
      <c r="M45" s="13"/>
      <c r="N45" s="8"/>
      <c r="O45" s="13"/>
      <c r="P45" s="13"/>
      <c r="Q45" s="13">
        <v>1</v>
      </c>
      <c r="R45" s="13">
        <f t="shared" si="0"/>
        <v>1400</v>
      </c>
      <c r="S45" s="8"/>
      <c r="T45" s="9">
        <v>0</v>
      </c>
      <c r="U45" s="15" t="str">
        <f t="shared" si="2"/>
        <v/>
      </c>
      <c r="V45" s="15"/>
      <c r="W45" s="15"/>
      <c r="X45" s="15"/>
      <c r="Y45" s="15"/>
      <c r="Z45" s="15"/>
      <c r="AA45" s="15"/>
      <c r="AB45" s="15"/>
      <c r="AC45" s="15"/>
      <c r="AD45" s="16"/>
    </row>
    <row r="46" spans="1:30" ht="15.75" customHeight="1">
      <c r="A46" s="110" t="s">
        <v>91</v>
      </c>
      <c r="B46" s="6" t="s">
        <v>95</v>
      </c>
      <c r="C46" s="6" t="s">
        <v>99</v>
      </c>
      <c r="D46" s="12" t="s">
        <v>69</v>
      </c>
      <c r="E46" s="13">
        <v>20000</v>
      </c>
      <c r="F46" s="13">
        <v>20000</v>
      </c>
      <c r="G46" s="13">
        <v>23000</v>
      </c>
      <c r="H46" s="108">
        <f t="shared" si="1"/>
        <v>17000</v>
      </c>
      <c r="I46" s="13">
        <v>10000</v>
      </c>
      <c r="J46" s="13">
        <v>11000</v>
      </c>
      <c r="K46" s="13">
        <f t="shared" ref="K46:K55" si="6">H46+I46-J46</f>
        <v>16000</v>
      </c>
      <c r="L46" s="13">
        <v>0.55000000000000004</v>
      </c>
      <c r="M46" s="13">
        <f t="shared" ref="M46:M55" si="7">K46*L46</f>
        <v>8800</v>
      </c>
      <c r="N46" s="8"/>
      <c r="O46" s="13">
        <v>0.6</v>
      </c>
      <c r="P46" s="13">
        <f t="shared" ref="P46:P55" si="8">K46*O46</f>
        <v>9600</v>
      </c>
      <c r="Q46" s="13">
        <v>0.6</v>
      </c>
      <c r="R46" s="13">
        <f t="shared" si="0"/>
        <v>10200</v>
      </c>
      <c r="S46" s="8"/>
      <c r="T46" s="9">
        <v>4000</v>
      </c>
      <c r="U46" s="15" t="str">
        <f t="shared" si="2"/>
        <v/>
      </c>
      <c r="V46" s="15"/>
      <c r="W46" s="15"/>
      <c r="X46" s="15"/>
      <c r="Y46" s="15"/>
      <c r="Z46" s="15"/>
      <c r="AA46" s="15"/>
      <c r="AB46" s="15"/>
      <c r="AC46" s="15"/>
      <c r="AD46" s="16"/>
    </row>
    <row r="47" spans="1:30" ht="12.75" customHeight="1">
      <c r="A47" s="111" t="s">
        <v>91</v>
      </c>
      <c r="B47" s="21" t="s">
        <v>95</v>
      </c>
      <c r="C47" s="21" t="s">
        <v>100</v>
      </c>
      <c r="D47" s="21" t="s">
        <v>101</v>
      </c>
      <c r="E47" s="13">
        <v>10500</v>
      </c>
      <c r="F47" s="13">
        <v>18000</v>
      </c>
      <c r="G47" s="13">
        <v>5000</v>
      </c>
      <c r="H47" s="108">
        <f t="shared" si="1"/>
        <v>23500</v>
      </c>
      <c r="I47" s="13">
        <v>5000</v>
      </c>
      <c r="J47" s="13">
        <v>12500</v>
      </c>
      <c r="K47" s="13">
        <f t="shared" si="6"/>
        <v>16000</v>
      </c>
      <c r="L47" s="13">
        <v>1.8</v>
      </c>
      <c r="M47" s="13">
        <f t="shared" si="7"/>
        <v>28800</v>
      </c>
      <c r="N47" s="8"/>
      <c r="O47" s="13">
        <v>1.74</v>
      </c>
      <c r="P47" s="13">
        <f t="shared" si="8"/>
        <v>27840</v>
      </c>
      <c r="Q47" s="13">
        <v>1.74</v>
      </c>
      <c r="R47" s="13">
        <f t="shared" si="0"/>
        <v>40890</v>
      </c>
      <c r="S47" s="8"/>
      <c r="T47" s="9">
        <v>4000</v>
      </c>
      <c r="U47" s="15" t="str">
        <f t="shared" si="2"/>
        <v/>
      </c>
      <c r="V47" s="15"/>
      <c r="W47" s="15"/>
      <c r="X47" s="15"/>
      <c r="Y47" s="15"/>
      <c r="Z47" s="15"/>
      <c r="AA47" s="15"/>
      <c r="AB47" s="15"/>
      <c r="AC47" s="15"/>
      <c r="AD47" s="16"/>
    </row>
    <row r="48" spans="1:30" ht="12.75" customHeight="1">
      <c r="A48" s="112" t="s">
        <v>91</v>
      </c>
      <c r="B48" s="94" t="s">
        <v>95</v>
      </c>
      <c r="C48" s="94" t="s">
        <v>468</v>
      </c>
      <c r="D48" s="94" t="s">
        <v>469</v>
      </c>
      <c r="E48" s="13">
        <v>800</v>
      </c>
      <c r="F48" s="13">
        <v>500</v>
      </c>
      <c r="G48" s="13">
        <v>220</v>
      </c>
      <c r="H48" s="108">
        <f t="shared" si="1"/>
        <v>1080</v>
      </c>
      <c r="I48" s="13"/>
      <c r="J48" s="13"/>
      <c r="K48" s="13"/>
      <c r="L48" s="13"/>
      <c r="M48" s="13"/>
      <c r="N48" s="8"/>
      <c r="O48" s="13"/>
      <c r="P48" s="13"/>
      <c r="Q48" s="13">
        <v>0.7</v>
      </c>
      <c r="R48" s="13">
        <f t="shared" si="0"/>
        <v>756</v>
      </c>
      <c r="S48" s="8"/>
      <c r="T48" s="9">
        <v>0</v>
      </c>
      <c r="U48" s="15" t="str">
        <f t="shared" si="2"/>
        <v/>
      </c>
      <c r="V48" s="15"/>
      <c r="W48" s="15"/>
      <c r="X48" s="15"/>
      <c r="Y48" s="15"/>
      <c r="Z48" s="15"/>
      <c r="AA48" s="15"/>
      <c r="AB48" s="15"/>
      <c r="AC48" s="15"/>
      <c r="AD48" s="16"/>
    </row>
    <row r="49" spans="1:30" ht="12.75" customHeight="1">
      <c r="A49" s="112" t="s">
        <v>91</v>
      </c>
      <c r="B49" s="94" t="s">
        <v>95</v>
      </c>
      <c r="C49" s="94" t="s">
        <v>543</v>
      </c>
      <c r="D49" s="94" t="s">
        <v>101</v>
      </c>
      <c r="E49" s="13">
        <v>500</v>
      </c>
      <c r="F49" s="13"/>
      <c r="G49" s="13"/>
      <c r="H49" s="108">
        <f t="shared" si="1"/>
        <v>500</v>
      </c>
      <c r="I49" s="13"/>
      <c r="J49" s="13"/>
      <c r="K49" s="13"/>
      <c r="L49" s="13"/>
      <c r="M49" s="13"/>
      <c r="N49" s="8"/>
      <c r="O49" s="13"/>
      <c r="P49" s="13"/>
      <c r="Q49" s="13">
        <v>1.1000000000000001</v>
      </c>
      <c r="R49" s="13">
        <f t="shared" si="0"/>
        <v>550</v>
      </c>
      <c r="S49" s="8"/>
      <c r="T49" s="9"/>
      <c r="U49" s="15" t="str">
        <f>IF(T49&gt;H49,"Y","")</f>
        <v/>
      </c>
      <c r="V49" s="15"/>
      <c r="W49" s="15"/>
      <c r="X49" s="15"/>
      <c r="Y49" s="15"/>
      <c r="Z49" s="15"/>
      <c r="AA49" s="15"/>
      <c r="AB49" s="15"/>
      <c r="AC49" s="15"/>
      <c r="AD49" s="16"/>
    </row>
    <row r="50" spans="1:30" ht="12.75" customHeight="1">
      <c r="A50" s="112" t="s">
        <v>91</v>
      </c>
      <c r="B50" s="94" t="s">
        <v>95</v>
      </c>
      <c r="C50" s="94" t="s">
        <v>470</v>
      </c>
      <c r="D50" s="94" t="s">
        <v>469</v>
      </c>
      <c r="E50" s="13">
        <v>800</v>
      </c>
      <c r="F50" s="13">
        <v>500</v>
      </c>
      <c r="G50" s="13">
        <v>120</v>
      </c>
      <c r="H50" s="108">
        <f t="shared" si="1"/>
        <v>1180</v>
      </c>
      <c r="I50" s="13"/>
      <c r="J50" s="13"/>
      <c r="K50" s="13"/>
      <c r="L50" s="13"/>
      <c r="M50" s="13"/>
      <c r="N50" s="8"/>
      <c r="O50" s="13"/>
      <c r="P50" s="13"/>
      <c r="Q50" s="13">
        <v>1.4</v>
      </c>
      <c r="R50" s="13">
        <f t="shared" si="0"/>
        <v>1652</v>
      </c>
      <c r="S50" s="8"/>
      <c r="T50" s="9">
        <v>0</v>
      </c>
      <c r="U50" s="15" t="str">
        <f t="shared" si="2"/>
        <v/>
      </c>
      <c r="V50" s="15"/>
      <c r="W50" s="15"/>
      <c r="X50" s="15"/>
      <c r="Y50" s="15"/>
      <c r="Z50" s="15"/>
      <c r="AA50" s="15"/>
      <c r="AB50" s="15"/>
      <c r="AC50" s="15"/>
      <c r="AD50" s="16"/>
    </row>
    <row r="51" spans="1:30" ht="12.75" customHeight="1">
      <c r="A51" s="110" t="s">
        <v>102</v>
      </c>
      <c r="B51" s="12" t="s">
        <v>103</v>
      </c>
      <c r="C51" s="6" t="s">
        <v>104</v>
      </c>
      <c r="D51" s="6" t="s">
        <v>95</v>
      </c>
      <c r="E51" s="13">
        <v>200</v>
      </c>
      <c r="F51" s="13">
        <v>0</v>
      </c>
      <c r="G51" s="13">
        <v>0</v>
      </c>
      <c r="H51" s="108">
        <f t="shared" si="1"/>
        <v>200</v>
      </c>
      <c r="I51" s="13">
        <v>0</v>
      </c>
      <c r="J51" s="8"/>
      <c r="K51" s="13">
        <f t="shared" si="6"/>
        <v>200</v>
      </c>
      <c r="L51" s="13">
        <v>10</v>
      </c>
      <c r="M51" s="13">
        <f t="shared" si="7"/>
        <v>2000</v>
      </c>
      <c r="N51" s="19" t="s">
        <v>90</v>
      </c>
      <c r="O51" s="13">
        <v>3.75</v>
      </c>
      <c r="P51" s="13">
        <f t="shared" si="8"/>
        <v>750</v>
      </c>
      <c r="Q51" s="13">
        <v>3.5</v>
      </c>
      <c r="R51" s="13">
        <f t="shared" si="0"/>
        <v>700</v>
      </c>
      <c r="S51" s="8"/>
      <c r="T51" s="9">
        <v>0</v>
      </c>
      <c r="U51" s="15" t="str">
        <f t="shared" si="2"/>
        <v/>
      </c>
      <c r="V51" s="15"/>
      <c r="W51" s="15"/>
      <c r="X51" s="15"/>
      <c r="Y51" s="15"/>
      <c r="Z51" s="15"/>
      <c r="AA51" s="15"/>
      <c r="AB51" s="15"/>
      <c r="AC51" s="15"/>
      <c r="AD51" s="16"/>
    </row>
    <row r="52" spans="1:30" ht="12.75" customHeight="1">
      <c r="A52" s="110" t="s">
        <v>105</v>
      </c>
      <c r="B52" s="6" t="s">
        <v>106</v>
      </c>
      <c r="C52" s="22">
        <v>5408</v>
      </c>
      <c r="D52" s="6" t="s">
        <v>107</v>
      </c>
      <c r="E52" s="13">
        <v>500</v>
      </c>
      <c r="F52" s="13">
        <v>0</v>
      </c>
      <c r="G52" s="13">
        <v>200</v>
      </c>
      <c r="H52" s="108">
        <f t="shared" si="1"/>
        <v>300</v>
      </c>
      <c r="I52" s="13">
        <v>0</v>
      </c>
      <c r="J52" s="13">
        <v>0</v>
      </c>
      <c r="K52" s="13">
        <f t="shared" si="6"/>
        <v>300</v>
      </c>
      <c r="L52" s="13">
        <v>0.36</v>
      </c>
      <c r="M52" s="13">
        <f t="shared" si="7"/>
        <v>108</v>
      </c>
      <c r="N52" s="19" t="s">
        <v>90</v>
      </c>
      <c r="O52" s="13">
        <v>0.36</v>
      </c>
      <c r="P52" s="13">
        <f t="shared" si="8"/>
        <v>108</v>
      </c>
      <c r="Q52" s="13">
        <v>1</v>
      </c>
      <c r="R52" s="13">
        <f t="shared" si="0"/>
        <v>300</v>
      </c>
      <c r="S52" s="8"/>
      <c r="T52" s="9">
        <v>0</v>
      </c>
      <c r="U52" s="15" t="str">
        <f t="shared" si="2"/>
        <v/>
      </c>
      <c r="V52" s="15"/>
      <c r="W52" s="15"/>
      <c r="X52" s="15"/>
      <c r="Y52" s="15"/>
      <c r="Z52" s="15"/>
      <c r="AA52" s="15"/>
      <c r="AB52" s="15"/>
      <c r="AC52" s="15"/>
      <c r="AD52" s="16"/>
    </row>
    <row r="53" spans="1:30" ht="12.75" customHeight="1">
      <c r="A53" s="110" t="s">
        <v>105</v>
      </c>
      <c r="B53" s="6" t="s">
        <v>106</v>
      </c>
      <c r="C53" s="23" t="s">
        <v>491</v>
      </c>
      <c r="D53" s="84" t="s">
        <v>108</v>
      </c>
      <c r="E53" s="13">
        <v>3000</v>
      </c>
      <c r="F53" s="13">
        <v>6000</v>
      </c>
      <c r="G53" s="13">
        <v>9000</v>
      </c>
      <c r="H53" s="108">
        <f t="shared" si="1"/>
        <v>0</v>
      </c>
      <c r="I53" s="13"/>
      <c r="J53" s="13"/>
      <c r="K53" s="13"/>
      <c r="L53" s="13"/>
      <c r="M53" s="13"/>
      <c r="N53" s="19"/>
      <c r="O53" s="13"/>
      <c r="P53" s="13"/>
      <c r="Q53" s="13">
        <v>0.38</v>
      </c>
      <c r="R53" s="13">
        <f t="shared" si="0"/>
        <v>0</v>
      </c>
      <c r="S53" s="105" t="s">
        <v>525</v>
      </c>
      <c r="T53" s="9">
        <v>0</v>
      </c>
      <c r="U53" s="15" t="str">
        <f t="shared" si="2"/>
        <v/>
      </c>
      <c r="V53" s="15"/>
      <c r="W53" s="15"/>
      <c r="X53" s="15"/>
      <c r="Y53" s="15"/>
      <c r="Z53" s="15"/>
      <c r="AA53" s="15"/>
      <c r="AB53" s="15"/>
      <c r="AC53" s="15"/>
      <c r="AD53" s="16"/>
    </row>
    <row r="54" spans="1:30" ht="12.75" customHeight="1">
      <c r="A54" s="110" t="s">
        <v>105</v>
      </c>
      <c r="B54" s="6" t="s">
        <v>106</v>
      </c>
      <c r="C54" s="23" t="s">
        <v>490</v>
      </c>
      <c r="D54" s="12" t="s">
        <v>108</v>
      </c>
      <c r="E54" s="13">
        <v>60000</v>
      </c>
      <c r="F54" s="13">
        <v>3000</v>
      </c>
      <c r="G54" s="13">
        <v>0</v>
      </c>
      <c r="H54" s="108">
        <f t="shared" si="1"/>
        <v>63000</v>
      </c>
      <c r="I54" s="13">
        <v>0</v>
      </c>
      <c r="J54" s="13">
        <v>25000</v>
      </c>
      <c r="K54" s="13">
        <f t="shared" si="6"/>
        <v>38000</v>
      </c>
      <c r="L54" s="13">
        <v>0.26500000000000001</v>
      </c>
      <c r="M54" s="13">
        <f t="shared" si="7"/>
        <v>10070</v>
      </c>
      <c r="N54" s="8"/>
      <c r="O54" s="13">
        <v>0.26</v>
      </c>
      <c r="P54" s="13">
        <f t="shared" si="8"/>
        <v>9880</v>
      </c>
      <c r="Q54" s="13">
        <v>0.245</v>
      </c>
      <c r="R54" s="13">
        <f t="shared" si="0"/>
        <v>15435</v>
      </c>
      <c r="S54" s="8"/>
      <c r="T54" s="9">
        <v>5000</v>
      </c>
      <c r="U54" s="15" t="str">
        <f t="shared" si="2"/>
        <v/>
      </c>
      <c r="V54" s="15"/>
      <c r="W54" s="15"/>
      <c r="X54" s="15"/>
      <c r="Y54" s="15"/>
      <c r="Z54" s="15"/>
      <c r="AA54" s="15"/>
      <c r="AB54" s="15"/>
      <c r="AC54" s="15"/>
      <c r="AD54" s="16"/>
    </row>
    <row r="55" spans="1:30" ht="12.75" customHeight="1">
      <c r="A55" s="113" t="s">
        <v>105</v>
      </c>
      <c r="B55" s="6" t="s">
        <v>106</v>
      </c>
      <c r="C55" s="23">
        <v>4007</v>
      </c>
      <c r="D55" s="12" t="s">
        <v>109</v>
      </c>
      <c r="E55" s="13">
        <v>22500</v>
      </c>
      <c r="F55" s="13">
        <v>0</v>
      </c>
      <c r="G55" s="13">
        <v>10000</v>
      </c>
      <c r="H55" s="108">
        <f t="shared" si="1"/>
        <v>12500</v>
      </c>
      <c r="I55" s="13">
        <v>47000</v>
      </c>
      <c r="J55" s="13">
        <v>85000</v>
      </c>
      <c r="K55" s="13">
        <f t="shared" si="6"/>
        <v>-25500</v>
      </c>
      <c r="L55" s="13">
        <v>0.36</v>
      </c>
      <c r="M55" s="13">
        <f t="shared" si="7"/>
        <v>-9180</v>
      </c>
      <c r="N55" s="8"/>
      <c r="O55" s="13">
        <v>0.32</v>
      </c>
      <c r="P55" s="13">
        <f t="shared" si="8"/>
        <v>-8160</v>
      </c>
      <c r="Q55" s="13">
        <v>0.31</v>
      </c>
      <c r="R55" s="13">
        <f t="shared" si="0"/>
        <v>3875</v>
      </c>
      <c r="S55" s="8"/>
      <c r="T55" s="9">
        <v>5000</v>
      </c>
      <c r="U55" s="15" t="str">
        <f t="shared" si="2"/>
        <v/>
      </c>
      <c r="V55" s="15"/>
      <c r="W55" s="15"/>
      <c r="X55" s="15"/>
      <c r="Y55" s="15"/>
      <c r="Z55" s="15"/>
      <c r="AA55" s="15"/>
      <c r="AB55" s="15"/>
      <c r="AC55" s="15"/>
      <c r="AD55" s="16"/>
    </row>
    <row r="56" spans="1:30" ht="12.75" customHeight="1">
      <c r="A56" s="113" t="s">
        <v>105</v>
      </c>
      <c r="B56" s="6" t="s">
        <v>106</v>
      </c>
      <c r="C56" s="24" t="s">
        <v>110</v>
      </c>
      <c r="D56" s="12" t="s">
        <v>42</v>
      </c>
      <c r="E56" s="13">
        <v>6000</v>
      </c>
      <c r="F56" s="13">
        <v>21000</v>
      </c>
      <c r="G56" s="13">
        <v>20321</v>
      </c>
      <c r="H56" s="108">
        <f t="shared" si="1"/>
        <v>6679</v>
      </c>
      <c r="I56" s="8"/>
      <c r="J56" s="8"/>
      <c r="K56" s="8"/>
      <c r="L56" s="8"/>
      <c r="M56" s="8"/>
      <c r="N56" s="8"/>
      <c r="O56" s="8"/>
      <c r="P56" s="8"/>
      <c r="Q56" s="13">
        <v>0.35</v>
      </c>
      <c r="R56" s="13">
        <f t="shared" si="0"/>
        <v>2337.6499999999996</v>
      </c>
      <c r="S56" s="105" t="s">
        <v>525</v>
      </c>
      <c r="T56" s="9">
        <v>5000</v>
      </c>
      <c r="U56" s="15" t="str">
        <f t="shared" si="2"/>
        <v/>
      </c>
      <c r="V56" s="15"/>
      <c r="W56" s="15"/>
      <c r="X56" s="15"/>
      <c r="Y56" s="15"/>
      <c r="Z56" s="15"/>
      <c r="AA56" s="15"/>
      <c r="AB56" s="15"/>
      <c r="AC56" s="15"/>
      <c r="AD56" s="16"/>
    </row>
    <row r="57" spans="1:30" ht="12.75" customHeight="1">
      <c r="A57" s="113" t="s">
        <v>105</v>
      </c>
      <c r="B57" s="6" t="s">
        <v>111</v>
      </c>
      <c r="C57" s="24" t="s">
        <v>112</v>
      </c>
      <c r="D57" s="12" t="s">
        <v>42</v>
      </c>
      <c r="E57" s="13">
        <v>0</v>
      </c>
      <c r="F57" s="13">
        <v>100000</v>
      </c>
      <c r="G57" s="13">
        <v>19321</v>
      </c>
      <c r="H57" s="108">
        <f t="shared" si="1"/>
        <v>80679</v>
      </c>
      <c r="I57" s="6" t="s">
        <v>79</v>
      </c>
      <c r="J57" s="13">
        <v>0</v>
      </c>
      <c r="K57" s="13">
        <v>2300</v>
      </c>
      <c r="L57" s="8"/>
      <c r="M57" s="8"/>
      <c r="N57" s="8"/>
      <c r="O57" s="13">
        <v>0.45</v>
      </c>
      <c r="P57" s="13">
        <f>K57*O57</f>
        <v>1035</v>
      </c>
      <c r="Q57" s="13">
        <v>0.6</v>
      </c>
      <c r="R57" s="13">
        <f t="shared" si="0"/>
        <v>48407.4</v>
      </c>
      <c r="S57" s="105" t="s">
        <v>525</v>
      </c>
      <c r="T57" s="9">
        <v>5000</v>
      </c>
      <c r="U57" s="15" t="str">
        <f t="shared" si="2"/>
        <v/>
      </c>
      <c r="V57" s="15"/>
      <c r="W57" s="15"/>
      <c r="X57" s="15"/>
      <c r="Y57" s="15"/>
      <c r="Z57" s="15"/>
      <c r="AA57" s="15"/>
      <c r="AB57" s="15"/>
      <c r="AC57" s="15"/>
      <c r="AD57" s="16"/>
    </row>
    <row r="58" spans="1:30" ht="12.75" customHeight="1">
      <c r="A58" s="113" t="s">
        <v>105</v>
      </c>
      <c r="B58" s="6" t="s">
        <v>113</v>
      </c>
      <c r="C58" s="24" t="s">
        <v>113</v>
      </c>
      <c r="D58" s="12" t="s">
        <v>42</v>
      </c>
      <c r="E58" s="13">
        <v>100000</v>
      </c>
      <c r="F58" s="13">
        <v>0</v>
      </c>
      <c r="G58" s="13">
        <v>16821</v>
      </c>
      <c r="H58" s="108">
        <f t="shared" si="1"/>
        <v>83179</v>
      </c>
      <c r="I58" s="8"/>
      <c r="J58" s="8"/>
      <c r="K58" s="8"/>
      <c r="L58" s="8"/>
      <c r="M58" s="8"/>
      <c r="N58" s="8"/>
      <c r="O58" s="8"/>
      <c r="P58" s="8"/>
      <c r="Q58" s="13">
        <v>0.5</v>
      </c>
      <c r="R58" s="13">
        <f t="shared" si="0"/>
        <v>41589.5</v>
      </c>
      <c r="S58" s="105" t="s">
        <v>525</v>
      </c>
      <c r="T58" s="9">
        <v>5000</v>
      </c>
      <c r="U58" s="15" t="str">
        <f t="shared" si="2"/>
        <v/>
      </c>
      <c r="V58" s="15"/>
      <c r="W58" s="15"/>
      <c r="X58" s="15"/>
      <c r="Y58" s="15"/>
      <c r="Z58" s="15"/>
      <c r="AA58" s="15"/>
      <c r="AB58" s="15"/>
      <c r="AC58" s="15"/>
      <c r="AD58" s="16"/>
    </row>
    <row r="59" spans="1:30" ht="12.75" customHeight="1">
      <c r="A59" s="110" t="s">
        <v>105</v>
      </c>
      <c r="B59" s="6" t="s">
        <v>106</v>
      </c>
      <c r="C59" s="12" t="s">
        <v>114</v>
      </c>
      <c r="D59" s="12" t="s">
        <v>108</v>
      </c>
      <c r="E59" s="13">
        <v>2200</v>
      </c>
      <c r="F59" s="13">
        <v>0</v>
      </c>
      <c r="G59" s="13">
        <v>0</v>
      </c>
      <c r="H59" s="108">
        <f t="shared" si="1"/>
        <v>2200</v>
      </c>
      <c r="I59" s="13">
        <v>0</v>
      </c>
      <c r="J59" s="13">
        <v>0</v>
      </c>
      <c r="K59" s="13">
        <f t="shared" ref="K59:K67" si="9">H59+I59-J59</f>
        <v>2200</v>
      </c>
      <c r="L59" s="13">
        <v>0.28999999999999998</v>
      </c>
      <c r="M59" s="13">
        <f t="shared" ref="M59:M66" si="10">K59*L59</f>
        <v>638</v>
      </c>
      <c r="N59" s="18"/>
      <c r="O59" s="13">
        <v>0.28999999999999998</v>
      </c>
      <c r="P59" s="13">
        <f t="shared" ref="P59:P67" si="11">K59*O59</f>
        <v>638</v>
      </c>
      <c r="Q59" s="13">
        <v>0.65</v>
      </c>
      <c r="R59" s="13">
        <f t="shared" si="0"/>
        <v>1430</v>
      </c>
      <c r="S59" s="8"/>
      <c r="T59" s="9">
        <v>500</v>
      </c>
      <c r="U59" s="15" t="str">
        <f t="shared" si="2"/>
        <v/>
      </c>
      <c r="V59" s="15"/>
      <c r="W59" s="15"/>
      <c r="X59" s="15"/>
      <c r="Y59" s="15"/>
      <c r="Z59" s="15"/>
      <c r="AA59" s="15"/>
      <c r="AB59" s="15"/>
      <c r="AC59" s="15"/>
      <c r="AD59" s="16"/>
    </row>
    <row r="60" spans="1:30" ht="12.75" customHeight="1">
      <c r="A60" s="110" t="s">
        <v>105</v>
      </c>
      <c r="B60" s="6" t="s">
        <v>115</v>
      </c>
      <c r="C60" s="6" t="s">
        <v>116</v>
      </c>
      <c r="D60" s="6" t="s">
        <v>108</v>
      </c>
      <c r="E60" s="13">
        <v>10000</v>
      </c>
      <c r="F60" s="13">
        <v>0</v>
      </c>
      <c r="G60" s="13">
        <v>0</v>
      </c>
      <c r="H60" s="108">
        <f t="shared" si="1"/>
        <v>10000</v>
      </c>
      <c r="I60" s="13">
        <v>0</v>
      </c>
      <c r="J60" s="13">
        <v>0</v>
      </c>
      <c r="K60" s="13">
        <f t="shared" si="9"/>
        <v>10000</v>
      </c>
      <c r="L60" s="13">
        <v>0.48</v>
      </c>
      <c r="M60" s="13">
        <f t="shared" si="10"/>
        <v>4800</v>
      </c>
      <c r="N60" s="8"/>
      <c r="O60" s="13">
        <v>0.48</v>
      </c>
      <c r="P60" s="13">
        <f t="shared" si="11"/>
        <v>4800</v>
      </c>
      <c r="Q60" s="13">
        <v>0.25</v>
      </c>
      <c r="R60" s="13">
        <f t="shared" si="0"/>
        <v>2500</v>
      </c>
      <c r="S60" s="8"/>
      <c r="T60" s="9">
        <v>0</v>
      </c>
      <c r="U60" s="15" t="str">
        <f t="shared" si="2"/>
        <v/>
      </c>
      <c r="V60" s="15"/>
      <c r="W60" s="15"/>
      <c r="X60" s="15"/>
      <c r="Y60" s="15"/>
      <c r="Z60" s="15"/>
      <c r="AA60" s="15"/>
      <c r="AB60" s="15"/>
      <c r="AC60" s="15"/>
      <c r="AD60" s="16"/>
    </row>
    <row r="61" spans="1:30" ht="12.75" customHeight="1">
      <c r="A61" s="110" t="s">
        <v>117</v>
      </c>
      <c r="B61" s="6" t="s">
        <v>117</v>
      </c>
      <c r="C61" s="8"/>
      <c r="D61" s="6" t="s">
        <v>117</v>
      </c>
      <c r="E61" s="13">
        <v>100000</v>
      </c>
      <c r="F61" s="13">
        <v>0</v>
      </c>
      <c r="G61" s="13">
        <v>30000</v>
      </c>
      <c r="H61" s="108">
        <f t="shared" si="1"/>
        <v>70000</v>
      </c>
      <c r="I61" s="13">
        <v>0</v>
      </c>
      <c r="J61" s="13">
        <v>0</v>
      </c>
      <c r="K61" s="13">
        <f t="shared" si="9"/>
        <v>70000</v>
      </c>
      <c r="L61" s="13">
        <v>0.22</v>
      </c>
      <c r="M61" s="13">
        <f t="shared" si="10"/>
        <v>15400</v>
      </c>
      <c r="N61" s="8"/>
      <c r="O61" s="13">
        <v>0.22</v>
      </c>
      <c r="P61" s="13">
        <f t="shared" si="11"/>
        <v>15400</v>
      </c>
      <c r="Q61" s="13">
        <v>0.22</v>
      </c>
      <c r="R61" s="13">
        <f t="shared" si="0"/>
        <v>15400</v>
      </c>
      <c r="S61" s="8"/>
      <c r="T61" s="9">
        <v>10000</v>
      </c>
      <c r="U61" s="15" t="str">
        <f t="shared" si="2"/>
        <v/>
      </c>
      <c r="V61" s="15"/>
      <c r="W61" s="15"/>
      <c r="X61" s="15"/>
      <c r="Y61" s="15"/>
      <c r="Z61" s="15"/>
      <c r="AA61" s="15"/>
      <c r="AB61" s="15"/>
      <c r="AC61" s="15"/>
      <c r="AD61" s="16"/>
    </row>
    <row r="62" spans="1:30" ht="12.75" customHeight="1">
      <c r="A62" s="110" t="s">
        <v>118</v>
      </c>
      <c r="B62" s="12" t="s">
        <v>119</v>
      </c>
      <c r="C62" s="12" t="s">
        <v>120</v>
      </c>
      <c r="D62" s="6" t="s">
        <v>121</v>
      </c>
      <c r="E62" s="13">
        <v>4510</v>
      </c>
      <c r="F62" s="13">
        <v>1800</v>
      </c>
      <c r="G62" s="13">
        <v>5074</v>
      </c>
      <c r="H62" s="108">
        <f t="shared" si="1"/>
        <v>1236</v>
      </c>
      <c r="I62" s="13">
        <v>3567</v>
      </c>
      <c r="J62" s="13">
        <v>3000</v>
      </c>
      <c r="K62" s="13">
        <f t="shared" si="9"/>
        <v>1803</v>
      </c>
      <c r="L62" s="13">
        <v>5.6</v>
      </c>
      <c r="M62" s="13">
        <f t="shared" si="10"/>
        <v>10096.799999999999</v>
      </c>
      <c r="N62" s="8"/>
      <c r="O62" s="13">
        <v>5.6</v>
      </c>
      <c r="P62" s="13">
        <f t="shared" si="11"/>
        <v>10096.799999999999</v>
      </c>
      <c r="Q62" s="13">
        <v>8.1</v>
      </c>
      <c r="R62" s="13">
        <f t="shared" si="0"/>
        <v>10011.6</v>
      </c>
      <c r="S62" s="8"/>
      <c r="T62" s="9">
        <v>1500</v>
      </c>
      <c r="U62" s="15" t="str">
        <f t="shared" si="2"/>
        <v>Y</v>
      </c>
      <c r="V62" s="15"/>
      <c r="W62" s="15"/>
      <c r="X62" s="15"/>
      <c r="Y62" s="15"/>
      <c r="Z62" s="15"/>
      <c r="AA62" s="15"/>
      <c r="AB62" s="15"/>
      <c r="AC62" s="15"/>
      <c r="AD62" s="16"/>
    </row>
    <row r="63" spans="1:30" ht="12.75" customHeight="1">
      <c r="A63" s="111" t="s">
        <v>118</v>
      </c>
      <c r="B63" s="21" t="s">
        <v>122</v>
      </c>
      <c r="C63" s="21" t="s">
        <v>123</v>
      </c>
      <c r="D63" s="21" t="s">
        <v>122</v>
      </c>
      <c r="E63" s="13">
        <v>5200</v>
      </c>
      <c r="F63" s="13">
        <v>50000</v>
      </c>
      <c r="G63" s="13">
        <v>36700</v>
      </c>
      <c r="H63" s="108">
        <f t="shared" si="1"/>
        <v>18500</v>
      </c>
      <c r="I63" s="13">
        <v>67000</v>
      </c>
      <c r="J63" s="13">
        <v>30910</v>
      </c>
      <c r="K63" s="13">
        <f t="shared" si="9"/>
        <v>54590</v>
      </c>
      <c r="L63" s="13">
        <v>3.25</v>
      </c>
      <c r="M63" s="13">
        <f t="shared" si="10"/>
        <v>177417.5</v>
      </c>
      <c r="N63" s="8"/>
      <c r="O63" s="13">
        <v>3.25</v>
      </c>
      <c r="P63" s="13">
        <f t="shared" si="11"/>
        <v>177417.5</v>
      </c>
      <c r="Q63" s="13">
        <v>3.5</v>
      </c>
      <c r="R63" s="13">
        <f t="shared" si="0"/>
        <v>64750</v>
      </c>
      <c r="S63" s="8"/>
      <c r="T63" s="9">
        <v>5000</v>
      </c>
      <c r="U63" s="15" t="str">
        <f t="shared" si="2"/>
        <v/>
      </c>
      <c r="V63" s="15"/>
      <c r="W63" s="15"/>
      <c r="X63" s="15"/>
      <c r="Y63" s="15"/>
      <c r="Z63" s="15"/>
      <c r="AA63" s="15"/>
      <c r="AB63" s="15"/>
      <c r="AC63" s="15"/>
      <c r="AD63" s="16"/>
    </row>
    <row r="64" spans="1:30" ht="12.75" customHeight="1">
      <c r="A64" s="113" t="s">
        <v>118</v>
      </c>
      <c r="B64" s="12" t="s">
        <v>122</v>
      </c>
      <c r="C64" s="12" t="s">
        <v>124</v>
      </c>
      <c r="D64" s="12" t="s">
        <v>122</v>
      </c>
      <c r="E64" s="13">
        <v>5800</v>
      </c>
      <c r="F64" s="13">
        <v>0</v>
      </c>
      <c r="G64" s="13">
        <v>2200</v>
      </c>
      <c r="H64" s="108">
        <f t="shared" si="1"/>
        <v>3600</v>
      </c>
      <c r="I64" s="13">
        <v>10000</v>
      </c>
      <c r="J64" s="13">
        <v>9500</v>
      </c>
      <c r="K64" s="13">
        <f t="shared" si="9"/>
        <v>4100</v>
      </c>
      <c r="L64" s="13">
        <v>2.6</v>
      </c>
      <c r="M64" s="13">
        <f t="shared" si="10"/>
        <v>10660</v>
      </c>
      <c r="N64" s="8"/>
      <c r="O64" s="13">
        <v>2.6</v>
      </c>
      <c r="P64" s="13">
        <f t="shared" si="11"/>
        <v>10660</v>
      </c>
      <c r="Q64" s="13">
        <v>2.7</v>
      </c>
      <c r="R64" s="13">
        <f t="shared" si="0"/>
        <v>9720</v>
      </c>
      <c r="S64" s="8"/>
      <c r="T64" s="9">
        <v>5000</v>
      </c>
      <c r="U64" s="15" t="str">
        <f t="shared" si="2"/>
        <v>Y</v>
      </c>
      <c r="V64" s="15"/>
      <c r="W64" s="15"/>
      <c r="X64" s="15"/>
      <c r="Y64" s="15"/>
      <c r="Z64" s="15"/>
      <c r="AA64" s="15"/>
      <c r="AB64" s="15"/>
      <c r="AC64" s="15"/>
      <c r="AD64" s="16"/>
    </row>
    <row r="65" spans="1:30" ht="12.75" customHeight="1">
      <c r="A65" s="110" t="s">
        <v>118</v>
      </c>
      <c r="B65" s="12" t="s">
        <v>125</v>
      </c>
      <c r="C65" s="12" t="s">
        <v>126</v>
      </c>
      <c r="D65" s="12" t="s">
        <v>127</v>
      </c>
      <c r="E65" s="13">
        <v>140</v>
      </c>
      <c r="F65" s="13">
        <v>0</v>
      </c>
      <c r="G65" s="13">
        <v>140</v>
      </c>
      <c r="H65" s="108">
        <f t="shared" si="1"/>
        <v>0</v>
      </c>
      <c r="I65" s="13">
        <v>0</v>
      </c>
      <c r="J65" s="13">
        <v>0</v>
      </c>
      <c r="K65" s="13">
        <f t="shared" si="9"/>
        <v>0</v>
      </c>
      <c r="L65" s="13">
        <v>20</v>
      </c>
      <c r="M65" s="13">
        <f t="shared" si="10"/>
        <v>0</v>
      </c>
      <c r="N65" s="8"/>
      <c r="O65" s="13">
        <v>20</v>
      </c>
      <c r="P65" s="13">
        <f t="shared" si="11"/>
        <v>0</v>
      </c>
      <c r="Q65" s="13">
        <v>18</v>
      </c>
      <c r="R65" s="13">
        <f t="shared" si="0"/>
        <v>0</v>
      </c>
      <c r="S65" s="8"/>
      <c r="T65" s="9">
        <v>0</v>
      </c>
      <c r="U65" s="15" t="str">
        <f t="shared" si="2"/>
        <v/>
      </c>
      <c r="V65" s="15"/>
      <c r="W65" s="15"/>
      <c r="X65" s="15"/>
      <c r="Y65" s="15"/>
      <c r="Z65" s="15"/>
      <c r="AA65" s="15"/>
      <c r="AB65" s="15"/>
      <c r="AC65" s="15"/>
      <c r="AD65" s="16"/>
    </row>
    <row r="66" spans="1:30" ht="12.75" customHeight="1">
      <c r="A66" s="110" t="s">
        <v>118</v>
      </c>
      <c r="B66" s="12" t="s">
        <v>125</v>
      </c>
      <c r="C66" s="12" t="s">
        <v>128</v>
      </c>
      <c r="D66" s="12" t="s">
        <v>127</v>
      </c>
      <c r="E66" s="13">
        <v>600</v>
      </c>
      <c r="F66" s="13">
        <v>0</v>
      </c>
      <c r="G66" s="13">
        <v>200</v>
      </c>
      <c r="H66" s="108">
        <f t="shared" si="1"/>
        <v>400</v>
      </c>
      <c r="I66" s="13">
        <v>0</v>
      </c>
      <c r="J66" s="13">
        <v>1700</v>
      </c>
      <c r="K66" s="13">
        <f t="shared" si="9"/>
        <v>-1300</v>
      </c>
      <c r="L66" s="13">
        <v>22</v>
      </c>
      <c r="M66" s="13">
        <f t="shared" si="10"/>
        <v>-28600</v>
      </c>
      <c r="N66" s="8"/>
      <c r="O66" s="13">
        <v>22</v>
      </c>
      <c r="P66" s="13">
        <f t="shared" si="11"/>
        <v>-28600</v>
      </c>
      <c r="Q66" s="13">
        <v>30</v>
      </c>
      <c r="R66" s="13">
        <f t="shared" si="0"/>
        <v>12000</v>
      </c>
      <c r="S66" s="8"/>
      <c r="T66" s="9">
        <v>0</v>
      </c>
      <c r="U66" s="15" t="str">
        <f t="shared" si="2"/>
        <v/>
      </c>
      <c r="V66" s="15"/>
      <c r="W66" s="15"/>
      <c r="X66" s="15"/>
      <c r="Y66" s="15"/>
      <c r="Z66" s="15"/>
      <c r="AA66" s="15"/>
      <c r="AB66" s="15"/>
      <c r="AC66" s="15"/>
      <c r="AD66" s="16"/>
    </row>
    <row r="67" spans="1:30" ht="12.75" customHeight="1">
      <c r="A67" s="110" t="s">
        <v>118</v>
      </c>
      <c r="B67" s="12" t="s">
        <v>125</v>
      </c>
      <c r="C67" s="12" t="s">
        <v>129</v>
      </c>
      <c r="D67" s="12" t="s">
        <v>127</v>
      </c>
      <c r="E67" s="13">
        <v>100</v>
      </c>
      <c r="F67" s="13">
        <v>0</v>
      </c>
      <c r="G67" s="13">
        <v>0</v>
      </c>
      <c r="H67" s="108">
        <f t="shared" ref="H67:H132" si="12">E67+F67-G67</f>
        <v>100</v>
      </c>
      <c r="I67" s="13">
        <v>0</v>
      </c>
      <c r="J67" s="13">
        <v>200</v>
      </c>
      <c r="K67" s="13">
        <f t="shared" si="9"/>
        <v>-100</v>
      </c>
      <c r="L67" s="8"/>
      <c r="M67" s="8"/>
      <c r="N67" s="8"/>
      <c r="O67" s="13">
        <v>12</v>
      </c>
      <c r="P67" s="13">
        <f t="shared" si="11"/>
        <v>-1200</v>
      </c>
      <c r="Q67" s="13">
        <v>10.5</v>
      </c>
      <c r="R67" s="13">
        <f t="shared" si="0"/>
        <v>1050</v>
      </c>
      <c r="S67" s="96"/>
      <c r="T67" s="9">
        <v>0</v>
      </c>
      <c r="U67" s="15" t="str">
        <f t="shared" si="2"/>
        <v/>
      </c>
      <c r="V67" s="15"/>
      <c r="W67" s="15"/>
      <c r="X67" s="15"/>
      <c r="Y67" s="15"/>
      <c r="Z67" s="15"/>
      <c r="AA67" s="15"/>
      <c r="AB67" s="15"/>
      <c r="AC67" s="15"/>
      <c r="AD67" s="16"/>
    </row>
    <row r="68" spans="1:30" ht="12.75" customHeight="1">
      <c r="A68" s="110" t="s">
        <v>130</v>
      </c>
      <c r="B68" s="25" t="s">
        <v>131</v>
      </c>
      <c r="C68" s="12" t="s">
        <v>132</v>
      </c>
      <c r="D68" s="12" t="s">
        <v>133</v>
      </c>
      <c r="E68" s="13">
        <v>12800</v>
      </c>
      <c r="F68" s="13">
        <v>10000</v>
      </c>
      <c r="G68" s="13">
        <v>8000</v>
      </c>
      <c r="H68" s="108">
        <f t="shared" si="12"/>
        <v>14800</v>
      </c>
      <c r="I68" s="8"/>
      <c r="J68" s="8"/>
      <c r="K68" s="8"/>
      <c r="L68" s="8"/>
      <c r="M68" s="8"/>
      <c r="N68" s="8"/>
      <c r="O68" s="8"/>
      <c r="P68" s="8"/>
      <c r="Q68" s="13">
        <v>3.75</v>
      </c>
      <c r="R68" s="13">
        <f t="shared" si="0"/>
        <v>55500</v>
      </c>
      <c r="S68" s="8"/>
      <c r="T68" s="9">
        <v>5000</v>
      </c>
      <c r="U68" s="15" t="str">
        <f t="shared" ref="U68:U133" si="13">IF(T68&gt;H68,"Y","")</f>
        <v/>
      </c>
      <c r="V68" s="15"/>
      <c r="W68" s="15"/>
      <c r="X68" s="15"/>
      <c r="Y68" s="15"/>
      <c r="Z68" s="15"/>
      <c r="AA68" s="15"/>
      <c r="AB68" s="15"/>
      <c r="AC68" s="15"/>
      <c r="AD68" s="16"/>
    </row>
    <row r="69" spans="1:30" ht="12.75" customHeight="1">
      <c r="A69" s="113" t="s">
        <v>130</v>
      </c>
      <c r="B69" s="25" t="s">
        <v>131</v>
      </c>
      <c r="C69" s="12" t="s">
        <v>124</v>
      </c>
      <c r="D69" s="12" t="s">
        <v>133</v>
      </c>
      <c r="E69" s="13">
        <v>6000</v>
      </c>
      <c r="F69" s="13">
        <v>0</v>
      </c>
      <c r="G69" s="13">
        <v>300</v>
      </c>
      <c r="H69" s="108">
        <f t="shared" si="12"/>
        <v>5700</v>
      </c>
      <c r="I69" s="8"/>
      <c r="J69" s="8"/>
      <c r="K69" s="8"/>
      <c r="L69" s="8"/>
      <c r="M69" s="8"/>
      <c r="N69" s="8"/>
      <c r="O69" s="8"/>
      <c r="P69" s="8"/>
      <c r="Q69" s="13">
        <v>2.7</v>
      </c>
      <c r="R69" s="13">
        <f t="shared" si="0"/>
        <v>15390.000000000002</v>
      </c>
      <c r="S69" s="8"/>
      <c r="T69" s="9">
        <v>5000</v>
      </c>
      <c r="U69" s="15" t="str">
        <f t="shared" si="13"/>
        <v/>
      </c>
      <c r="V69" s="15"/>
      <c r="W69" s="15"/>
      <c r="X69" s="15"/>
      <c r="Y69" s="15"/>
      <c r="Z69" s="15"/>
      <c r="AA69" s="15"/>
      <c r="AB69" s="15"/>
      <c r="AC69" s="15"/>
      <c r="AD69" s="16"/>
    </row>
    <row r="70" spans="1:30" ht="12.75" customHeight="1">
      <c r="A70" s="113" t="s">
        <v>539</v>
      </c>
      <c r="B70" s="25" t="s">
        <v>540</v>
      </c>
      <c r="C70" s="12"/>
      <c r="D70" s="12"/>
      <c r="E70" s="13">
        <v>600</v>
      </c>
      <c r="F70" s="13"/>
      <c r="G70" s="13">
        <v>600</v>
      </c>
      <c r="H70" s="108">
        <f t="shared" si="12"/>
        <v>0</v>
      </c>
      <c r="I70" s="8"/>
      <c r="J70" s="8"/>
      <c r="K70" s="8"/>
      <c r="L70" s="8"/>
      <c r="M70" s="8"/>
      <c r="N70" s="8"/>
      <c r="O70" s="8"/>
      <c r="P70" s="8"/>
      <c r="Q70" s="13">
        <v>6</v>
      </c>
      <c r="R70" s="13">
        <f t="shared" si="0"/>
        <v>0</v>
      </c>
      <c r="S70" s="8"/>
      <c r="T70" s="9"/>
      <c r="U70" s="15" t="str">
        <f>IF(T70&gt;H70,"Y","")</f>
        <v/>
      </c>
      <c r="V70" s="15"/>
      <c r="W70" s="15"/>
      <c r="X70" s="15"/>
      <c r="Y70" s="15"/>
      <c r="Z70" s="15"/>
      <c r="AA70" s="15"/>
      <c r="AB70" s="15"/>
      <c r="AC70" s="15"/>
      <c r="AD70" s="16"/>
    </row>
    <row r="71" spans="1:30" ht="12.75" customHeight="1">
      <c r="A71" s="113" t="s">
        <v>519</v>
      </c>
      <c r="B71" s="25" t="s">
        <v>520</v>
      </c>
      <c r="C71" s="12"/>
      <c r="D71" s="12" t="s">
        <v>521</v>
      </c>
      <c r="E71" s="13">
        <v>448</v>
      </c>
      <c r="F71" s="13"/>
      <c r="G71" s="13">
        <v>448</v>
      </c>
      <c r="H71" s="108">
        <f t="shared" si="12"/>
        <v>0</v>
      </c>
      <c r="I71" s="8"/>
      <c r="J71" s="8"/>
      <c r="K71" s="8"/>
      <c r="L71" s="8"/>
      <c r="M71" s="8"/>
      <c r="N71" s="8"/>
      <c r="O71" s="8"/>
      <c r="P71" s="8"/>
      <c r="Q71" s="13">
        <v>27</v>
      </c>
      <c r="R71" s="13">
        <f t="shared" si="0"/>
        <v>0</v>
      </c>
      <c r="S71" s="8"/>
      <c r="T71" s="9">
        <v>0</v>
      </c>
      <c r="U71" s="15" t="str">
        <f t="shared" si="13"/>
        <v/>
      </c>
      <c r="V71" s="15"/>
      <c r="W71" s="15"/>
      <c r="X71" s="15"/>
      <c r="Y71" s="15"/>
      <c r="Z71" s="15"/>
      <c r="AA71" s="15"/>
      <c r="AB71" s="15"/>
      <c r="AC71" s="15"/>
      <c r="AD71" s="16"/>
    </row>
    <row r="72" spans="1:30" ht="12.75" customHeight="1">
      <c r="A72" s="110" t="s">
        <v>134</v>
      </c>
      <c r="B72" s="12" t="s">
        <v>135</v>
      </c>
      <c r="C72" s="12" t="s">
        <v>136</v>
      </c>
      <c r="D72" s="26">
        <v>109</v>
      </c>
      <c r="E72" s="13">
        <v>100</v>
      </c>
      <c r="F72" s="13">
        <v>0</v>
      </c>
      <c r="G72" s="13">
        <v>60</v>
      </c>
      <c r="H72" s="108">
        <f t="shared" si="12"/>
        <v>40</v>
      </c>
      <c r="I72" s="13">
        <v>0</v>
      </c>
      <c r="J72" s="13">
        <v>30</v>
      </c>
      <c r="K72" s="13">
        <f t="shared" ref="K72:K83" si="14">H72+I72-J72</f>
        <v>10</v>
      </c>
      <c r="L72" s="13">
        <v>205</v>
      </c>
      <c r="M72" s="13">
        <f t="shared" ref="M72:M83" si="15">K72*L72</f>
        <v>2050</v>
      </c>
      <c r="N72" s="8"/>
      <c r="O72" s="13">
        <v>205</v>
      </c>
      <c r="P72" s="13">
        <f t="shared" ref="P72:P83" si="16">K72*O72</f>
        <v>2050</v>
      </c>
      <c r="Q72" s="13">
        <v>200</v>
      </c>
      <c r="R72" s="13">
        <f t="shared" si="0"/>
        <v>8000</v>
      </c>
      <c r="S72" s="8"/>
      <c r="T72" s="9">
        <v>20</v>
      </c>
      <c r="U72" s="15" t="str">
        <f t="shared" si="13"/>
        <v/>
      </c>
      <c r="V72" s="15"/>
      <c r="W72" s="15"/>
      <c r="X72" s="15"/>
      <c r="Y72" s="15"/>
      <c r="Z72" s="15"/>
      <c r="AA72" s="15"/>
      <c r="AB72" s="15"/>
      <c r="AC72" s="15"/>
      <c r="AD72" s="16"/>
    </row>
    <row r="73" spans="1:30" ht="12.75" customHeight="1">
      <c r="A73" s="110" t="s">
        <v>137</v>
      </c>
      <c r="B73" s="6" t="s">
        <v>138</v>
      </c>
      <c r="C73" s="6" t="s">
        <v>139</v>
      </c>
      <c r="D73" s="6"/>
      <c r="E73" s="13">
        <v>1</v>
      </c>
      <c r="F73" s="13">
        <v>0</v>
      </c>
      <c r="G73" s="13">
        <v>0</v>
      </c>
      <c r="H73" s="108">
        <f t="shared" si="12"/>
        <v>1</v>
      </c>
      <c r="I73" s="13">
        <v>0</v>
      </c>
      <c r="J73" s="13">
        <v>0</v>
      </c>
      <c r="K73" s="13">
        <f t="shared" si="14"/>
        <v>1</v>
      </c>
      <c r="L73" s="13">
        <v>238</v>
      </c>
      <c r="M73" s="13">
        <f t="shared" si="15"/>
        <v>238</v>
      </c>
      <c r="N73" s="17"/>
      <c r="O73" s="13">
        <v>238</v>
      </c>
      <c r="P73" s="13">
        <f t="shared" si="16"/>
        <v>238</v>
      </c>
      <c r="Q73" s="13">
        <v>420</v>
      </c>
      <c r="R73" s="13">
        <f t="shared" si="0"/>
        <v>420</v>
      </c>
      <c r="S73" s="8"/>
      <c r="T73" s="9">
        <v>0</v>
      </c>
      <c r="U73" s="15" t="str">
        <f t="shared" si="13"/>
        <v/>
      </c>
      <c r="V73" s="15"/>
      <c r="W73" s="15"/>
      <c r="X73" s="15"/>
      <c r="Y73" s="15"/>
      <c r="Z73" s="15"/>
      <c r="AA73" s="15"/>
      <c r="AB73" s="15"/>
      <c r="AC73" s="15"/>
      <c r="AD73" s="16"/>
    </row>
    <row r="74" spans="1:30" ht="12.75" customHeight="1">
      <c r="A74" s="110" t="s">
        <v>140</v>
      </c>
      <c r="B74" s="6" t="s">
        <v>141</v>
      </c>
      <c r="C74" s="6" t="s">
        <v>142</v>
      </c>
      <c r="D74" s="6" t="s">
        <v>141</v>
      </c>
      <c r="E74" s="13">
        <v>15000</v>
      </c>
      <c r="F74" s="13">
        <v>0</v>
      </c>
      <c r="G74" s="13">
        <v>0</v>
      </c>
      <c r="H74" s="108">
        <f t="shared" si="12"/>
        <v>15000</v>
      </c>
      <c r="I74" s="13">
        <v>6700</v>
      </c>
      <c r="J74" s="13">
        <v>1200</v>
      </c>
      <c r="K74" s="13">
        <f t="shared" si="14"/>
        <v>20500</v>
      </c>
      <c r="L74" s="13">
        <v>2.5</v>
      </c>
      <c r="M74" s="13">
        <f t="shared" si="15"/>
        <v>51250</v>
      </c>
      <c r="N74" s="17"/>
      <c r="O74" s="13">
        <v>2.5</v>
      </c>
      <c r="P74" s="13">
        <f t="shared" si="16"/>
        <v>51250</v>
      </c>
      <c r="Q74" s="13">
        <v>2.25</v>
      </c>
      <c r="R74" s="13">
        <f t="shared" si="0"/>
        <v>33750</v>
      </c>
      <c r="S74" s="96"/>
      <c r="T74" s="9">
        <v>5000</v>
      </c>
      <c r="U74" s="15" t="str">
        <f t="shared" si="13"/>
        <v/>
      </c>
      <c r="V74" s="15"/>
      <c r="W74" s="15"/>
      <c r="X74" s="15"/>
      <c r="Y74" s="15"/>
      <c r="Z74" s="15"/>
      <c r="AA74" s="15"/>
      <c r="AB74" s="15"/>
      <c r="AC74" s="15"/>
      <c r="AD74" s="16"/>
    </row>
    <row r="75" spans="1:30" ht="12.75" customHeight="1">
      <c r="A75" s="114" t="s">
        <v>143</v>
      </c>
      <c r="B75" s="12" t="s">
        <v>141</v>
      </c>
      <c r="C75" s="27" t="s">
        <v>144</v>
      </c>
      <c r="D75" s="99" t="s">
        <v>141</v>
      </c>
      <c r="E75" s="13">
        <v>15100</v>
      </c>
      <c r="F75" s="13">
        <v>24000</v>
      </c>
      <c r="G75" s="13">
        <v>14000</v>
      </c>
      <c r="H75" s="108">
        <f t="shared" si="12"/>
        <v>25100</v>
      </c>
      <c r="I75" s="13">
        <v>2000</v>
      </c>
      <c r="J75" s="13">
        <v>14500</v>
      </c>
      <c r="K75" s="13">
        <f t="shared" si="14"/>
        <v>12600</v>
      </c>
      <c r="L75" s="13">
        <v>1.7</v>
      </c>
      <c r="M75" s="13">
        <f t="shared" si="15"/>
        <v>21420</v>
      </c>
      <c r="N75" s="17"/>
      <c r="O75" s="13">
        <v>1.7</v>
      </c>
      <c r="P75" s="13">
        <f t="shared" si="16"/>
        <v>21420</v>
      </c>
      <c r="Q75" s="13">
        <v>1.9</v>
      </c>
      <c r="R75" s="13">
        <f t="shared" ref="R75:R140" si="17">H75*Q75</f>
        <v>47690</v>
      </c>
      <c r="S75" s="6"/>
      <c r="T75" s="9">
        <v>5000</v>
      </c>
      <c r="U75" s="15" t="str">
        <f t="shared" si="13"/>
        <v/>
      </c>
      <c r="V75" s="15"/>
      <c r="W75" s="15"/>
      <c r="X75" s="15"/>
      <c r="Y75" s="15"/>
      <c r="Z75" s="15"/>
      <c r="AA75" s="15"/>
      <c r="AB75" s="15"/>
      <c r="AC75" s="15"/>
      <c r="AD75" s="16"/>
    </row>
    <row r="76" spans="1:30" ht="12.75" customHeight="1">
      <c r="A76" s="110" t="s">
        <v>145</v>
      </c>
      <c r="B76" s="12" t="s">
        <v>146</v>
      </c>
      <c r="C76" s="6" t="s">
        <v>147</v>
      </c>
      <c r="D76" s="12" t="s">
        <v>148</v>
      </c>
      <c r="E76" s="13">
        <v>1000</v>
      </c>
      <c r="F76" s="13">
        <v>0</v>
      </c>
      <c r="G76" s="13"/>
      <c r="H76" s="108">
        <f t="shared" si="12"/>
        <v>1000</v>
      </c>
      <c r="I76" s="13">
        <v>0</v>
      </c>
      <c r="J76" s="13">
        <v>0</v>
      </c>
      <c r="K76" s="13">
        <f t="shared" si="14"/>
        <v>1000</v>
      </c>
      <c r="L76" s="13">
        <v>5</v>
      </c>
      <c r="M76" s="13">
        <f t="shared" si="15"/>
        <v>5000</v>
      </c>
      <c r="N76" s="8"/>
      <c r="O76" s="13">
        <v>5</v>
      </c>
      <c r="P76" s="13">
        <f t="shared" si="16"/>
        <v>5000</v>
      </c>
      <c r="Q76" s="13">
        <v>4.5</v>
      </c>
      <c r="R76" s="13">
        <f t="shared" si="17"/>
        <v>4500</v>
      </c>
      <c r="S76" s="8"/>
      <c r="T76" s="9">
        <v>0</v>
      </c>
      <c r="U76" s="15" t="str">
        <f t="shared" si="13"/>
        <v/>
      </c>
      <c r="V76" s="15"/>
      <c r="W76" s="15"/>
      <c r="X76" s="15"/>
      <c r="Y76" s="15"/>
      <c r="Z76" s="15"/>
      <c r="AA76" s="15"/>
      <c r="AB76" s="15"/>
      <c r="AC76" s="15"/>
      <c r="AD76" s="16"/>
    </row>
    <row r="77" spans="1:30" ht="12.75" customHeight="1">
      <c r="A77" s="110" t="s">
        <v>145</v>
      </c>
      <c r="B77" s="12" t="s">
        <v>488</v>
      </c>
      <c r="C77" s="6" t="s">
        <v>147</v>
      </c>
      <c r="D77" s="12"/>
      <c r="E77" s="13">
        <v>1600</v>
      </c>
      <c r="F77" s="13"/>
      <c r="G77" s="13"/>
      <c r="H77" s="108">
        <f t="shared" si="12"/>
        <v>1600</v>
      </c>
      <c r="I77" s="13"/>
      <c r="J77" s="13"/>
      <c r="K77" s="13"/>
      <c r="L77" s="13"/>
      <c r="M77" s="13"/>
      <c r="N77" s="8"/>
      <c r="O77" s="13"/>
      <c r="P77" s="13"/>
      <c r="Q77" s="13">
        <v>28</v>
      </c>
      <c r="R77" s="13">
        <f t="shared" si="17"/>
        <v>44800</v>
      </c>
      <c r="S77" s="8"/>
      <c r="T77" s="9">
        <v>0</v>
      </c>
      <c r="U77" s="15" t="str">
        <f t="shared" si="13"/>
        <v/>
      </c>
      <c r="V77" s="15"/>
      <c r="W77" s="15"/>
      <c r="X77" s="15"/>
      <c r="Y77" s="15"/>
      <c r="Z77" s="15"/>
      <c r="AA77" s="15"/>
      <c r="AB77" s="15"/>
      <c r="AC77" s="15"/>
      <c r="AD77" s="16"/>
    </row>
    <row r="78" spans="1:30" ht="12.75" customHeight="1">
      <c r="A78" s="110" t="s">
        <v>145</v>
      </c>
      <c r="B78" s="6" t="s">
        <v>149</v>
      </c>
      <c r="C78" s="6" t="s">
        <v>150</v>
      </c>
      <c r="D78" s="6" t="s">
        <v>149</v>
      </c>
      <c r="E78" s="13">
        <v>100</v>
      </c>
      <c r="F78" s="13">
        <v>0</v>
      </c>
      <c r="G78" s="13">
        <v>0</v>
      </c>
      <c r="H78" s="108">
        <f t="shared" si="12"/>
        <v>100</v>
      </c>
      <c r="I78" s="13">
        <v>0</v>
      </c>
      <c r="J78" s="13">
        <v>0</v>
      </c>
      <c r="K78" s="13">
        <f t="shared" si="14"/>
        <v>100</v>
      </c>
      <c r="L78" s="13">
        <v>1.5</v>
      </c>
      <c r="M78" s="13">
        <f t="shared" si="15"/>
        <v>150</v>
      </c>
      <c r="N78" s="8"/>
      <c r="O78" s="13">
        <v>1.5</v>
      </c>
      <c r="P78" s="13">
        <f t="shared" si="16"/>
        <v>150</v>
      </c>
      <c r="Q78" s="13">
        <v>2.75</v>
      </c>
      <c r="R78" s="13">
        <f t="shared" si="17"/>
        <v>275</v>
      </c>
      <c r="S78" s="8"/>
      <c r="T78" s="9">
        <v>0</v>
      </c>
      <c r="U78" s="15" t="str">
        <f t="shared" si="13"/>
        <v/>
      </c>
      <c r="V78" s="15"/>
      <c r="W78" s="15"/>
      <c r="X78" s="15"/>
      <c r="Y78" s="15"/>
      <c r="Z78" s="15"/>
      <c r="AA78" s="15"/>
      <c r="AB78" s="15"/>
      <c r="AC78" s="15"/>
      <c r="AD78" s="16"/>
    </row>
    <row r="79" spans="1:30" ht="12.75" customHeight="1">
      <c r="A79" s="113" t="s">
        <v>145</v>
      </c>
      <c r="B79" s="12" t="s">
        <v>151</v>
      </c>
      <c r="C79" s="12" t="s">
        <v>152</v>
      </c>
      <c r="D79" s="12" t="s">
        <v>153</v>
      </c>
      <c r="E79" s="13">
        <v>400</v>
      </c>
      <c r="F79" s="13">
        <v>0</v>
      </c>
      <c r="G79" s="13">
        <v>0</v>
      </c>
      <c r="H79" s="108">
        <f t="shared" si="12"/>
        <v>400</v>
      </c>
      <c r="I79" s="13">
        <v>0</v>
      </c>
      <c r="J79" s="13">
        <v>50</v>
      </c>
      <c r="K79" s="13">
        <f t="shared" si="14"/>
        <v>350</v>
      </c>
      <c r="L79" s="13">
        <v>56</v>
      </c>
      <c r="M79" s="13">
        <f t="shared" si="15"/>
        <v>19600</v>
      </c>
      <c r="N79" s="8"/>
      <c r="O79" s="13">
        <v>56</v>
      </c>
      <c r="P79" s="13">
        <f t="shared" si="16"/>
        <v>19600</v>
      </c>
      <c r="Q79" s="13">
        <v>60</v>
      </c>
      <c r="R79" s="13">
        <f t="shared" si="17"/>
        <v>24000</v>
      </c>
      <c r="S79" s="8"/>
      <c r="T79" s="9">
        <v>0</v>
      </c>
      <c r="U79" s="15" t="str">
        <f t="shared" si="13"/>
        <v/>
      </c>
      <c r="V79" s="15"/>
      <c r="W79" s="15"/>
      <c r="X79" s="15"/>
      <c r="Y79" s="15"/>
      <c r="Z79" s="15"/>
      <c r="AA79" s="15"/>
      <c r="AB79" s="15"/>
      <c r="AC79" s="15"/>
      <c r="AD79" s="16"/>
    </row>
    <row r="80" spans="1:30" ht="12.75" customHeight="1">
      <c r="A80" s="110" t="s">
        <v>145</v>
      </c>
      <c r="B80" s="6" t="s">
        <v>154</v>
      </c>
      <c r="C80" s="6" t="s">
        <v>155</v>
      </c>
      <c r="D80" s="6" t="s">
        <v>154</v>
      </c>
      <c r="E80" s="13">
        <v>0</v>
      </c>
      <c r="F80" s="13">
        <v>0</v>
      </c>
      <c r="G80" s="13">
        <v>0</v>
      </c>
      <c r="H80" s="108">
        <f t="shared" si="12"/>
        <v>0</v>
      </c>
      <c r="I80" s="13">
        <v>0</v>
      </c>
      <c r="J80" s="13">
        <v>0</v>
      </c>
      <c r="K80" s="13">
        <f t="shared" si="14"/>
        <v>0</v>
      </c>
      <c r="L80" s="13">
        <v>2</v>
      </c>
      <c r="M80" s="13">
        <f t="shared" si="15"/>
        <v>0</v>
      </c>
      <c r="N80" s="8"/>
      <c r="O80" s="13">
        <v>2</v>
      </c>
      <c r="P80" s="13">
        <f t="shared" si="16"/>
        <v>0</v>
      </c>
      <c r="Q80" s="13">
        <v>1.4</v>
      </c>
      <c r="R80" s="13">
        <f t="shared" si="17"/>
        <v>0</v>
      </c>
      <c r="S80" s="8"/>
      <c r="T80" s="9">
        <v>0</v>
      </c>
      <c r="U80" s="15" t="str">
        <f t="shared" si="13"/>
        <v/>
      </c>
      <c r="V80" s="15"/>
      <c r="W80" s="15"/>
      <c r="X80" s="15"/>
      <c r="Y80" s="15"/>
      <c r="Z80" s="15"/>
      <c r="AA80" s="15"/>
      <c r="AB80" s="15"/>
      <c r="AC80" s="15"/>
      <c r="AD80" s="16"/>
    </row>
    <row r="81" spans="1:30" ht="12.75" customHeight="1">
      <c r="A81" s="110" t="s">
        <v>145</v>
      </c>
      <c r="B81" s="6" t="s">
        <v>156</v>
      </c>
      <c r="C81" s="12" t="s">
        <v>157</v>
      </c>
      <c r="D81" s="12" t="s">
        <v>156</v>
      </c>
      <c r="E81" s="13">
        <v>30</v>
      </c>
      <c r="F81" s="13">
        <v>59</v>
      </c>
      <c r="G81" s="13">
        <v>50</v>
      </c>
      <c r="H81" s="108">
        <f t="shared" si="12"/>
        <v>39</v>
      </c>
      <c r="I81" s="13">
        <v>0</v>
      </c>
      <c r="J81" s="13">
        <v>0</v>
      </c>
      <c r="K81" s="13">
        <f t="shared" si="14"/>
        <v>39</v>
      </c>
      <c r="L81" s="13">
        <v>75</v>
      </c>
      <c r="M81" s="13">
        <f t="shared" si="15"/>
        <v>2925</v>
      </c>
      <c r="N81" s="8"/>
      <c r="O81" s="13">
        <v>75</v>
      </c>
      <c r="P81" s="13">
        <f t="shared" si="16"/>
        <v>2925</v>
      </c>
      <c r="Q81" s="13">
        <v>93</v>
      </c>
      <c r="R81" s="13">
        <f t="shared" si="17"/>
        <v>3627</v>
      </c>
      <c r="S81" s="8"/>
      <c r="T81" s="9">
        <v>0</v>
      </c>
      <c r="U81" s="15" t="str">
        <f t="shared" si="13"/>
        <v/>
      </c>
      <c r="V81" s="15"/>
      <c r="W81" s="15"/>
      <c r="X81" s="15"/>
      <c r="Y81" s="15"/>
      <c r="Z81" s="15"/>
      <c r="AA81" s="15"/>
      <c r="AB81" s="15"/>
      <c r="AC81" s="15"/>
      <c r="AD81" s="16"/>
    </row>
    <row r="82" spans="1:30" ht="12.75" customHeight="1">
      <c r="A82" s="110" t="s">
        <v>145</v>
      </c>
      <c r="B82" s="6" t="s">
        <v>158</v>
      </c>
      <c r="C82" s="6" t="s">
        <v>159</v>
      </c>
      <c r="D82" s="12" t="s">
        <v>445</v>
      </c>
      <c r="E82" s="13">
        <v>800</v>
      </c>
      <c r="F82" s="13"/>
      <c r="G82" s="13">
        <v>50</v>
      </c>
      <c r="H82" s="108">
        <f t="shared" si="12"/>
        <v>750</v>
      </c>
      <c r="I82" s="13">
        <v>0</v>
      </c>
      <c r="J82" s="13">
        <v>400</v>
      </c>
      <c r="K82" s="13">
        <f t="shared" si="14"/>
        <v>350</v>
      </c>
      <c r="L82" s="13">
        <v>57</v>
      </c>
      <c r="M82" s="13">
        <f t="shared" si="15"/>
        <v>19950</v>
      </c>
      <c r="N82" s="8"/>
      <c r="O82" s="13">
        <v>57</v>
      </c>
      <c r="P82" s="13">
        <f t="shared" si="16"/>
        <v>19950</v>
      </c>
      <c r="Q82" s="13">
        <v>60</v>
      </c>
      <c r="R82" s="13">
        <f t="shared" si="17"/>
        <v>45000</v>
      </c>
      <c r="S82" s="6" t="s">
        <v>160</v>
      </c>
      <c r="T82" s="9">
        <v>0</v>
      </c>
      <c r="U82" s="15" t="str">
        <f t="shared" si="13"/>
        <v/>
      </c>
      <c r="V82" s="15"/>
      <c r="W82" s="15"/>
      <c r="X82" s="15"/>
      <c r="Y82" s="15"/>
      <c r="Z82" s="15"/>
      <c r="AA82" s="15"/>
      <c r="AB82" s="15"/>
      <c r="AC82" s="15"/>
      <c r="AD82" s="16"/>
    </row>
    <row r="83" spans="1:30" ht="12.75" customHeight="1">
      <c r="A83" s="110" t="s">
        <v>145</v>
      </c>
      <c r="B83" s="12" t="s">
        <v>161</v>
      </c>
      <c r="C83" s="6" t="s">
        <v>162</v>
      </c>
      <c r="D83" s="12" t="s">
        <v>163</v>
      </c>
      <c r="E83" s="13">
        <v>2000</v>
      </c>
      <c r="F83" s="13">
        <v>2475</v>
      </c>
      <c r="G83" s="13">
        <v>2000</v>
      </c>
      <c r="H83" s="108">
        <f t="shared" si="12"/>
        <v>2475</v>
      </c>
      <c r="I83" s="13">
        <v>5000</v>
      </c>
      <c r="J83" s="13">
        <v>7000</v>
      </c>
      <c r="K83" s="13">
        <f t="shared" si="14"/>
        <v>475</v>
      </c>
      <c r="L83" s="13">
        <v>6.5</v>
      </c>
      <c r="M83" s="13">
        <f t="shared" si="15"/>
        <v>3087.5</v>
      </c>
      <c r="N83" s="8"/>
      <c r="O83" s="13">
        <v>7.2</v>
      </c>
      <c r="P83" s="13">
        <f t="shared" si="16"/>
        <v>3420</v>
      </c>
      <c r="Q83" s="13">
        <v>6.35</v>
      </c>
      <c r="R83" s="13">
        <f t="shared" si="17"/>
        <v>15716.25</v>
      </c>
      <c r="S83" s="8"/>
      <c r="T83" s="9">
        <v>1000</v>
      </c>
      <c r="U83" s="15" t="str">
        <f t="shared" si="13"/>
        <v/>
      </c>
      <c r="V83" s="15"/>
      <c r="W83" s="15"/>
      <c r="X83" s="15"/>
      <c r="Y83" s="15"/>
      <c r="Z83" s="15"/>
      <c r="AA83" s="15"/>
      <c r="AB83" s="15"/>
      <c r="AC83" s="15"/>
      <c r="AD83" s="16"/>
    </row>
    <row r="84" spans="1:30" ht="12.75" customHeight="1">
      <c r="A84" s="110" t="s">
        <v>145</v>
      </c>
      <c r="B84" s="12" t="s">
        <v>474</v>
      </c>
      <c r="C84" s="12" t="s">
        <v>164</v>
      </c>
      <c r="D84" s="12" t="s">
        <v>475</v>
      </c>
      <c r="E84" s="13">
        <v>3500</v>
      </c>
      <c r="F84" s="13">
        <v>0</v>
      </c>
      <c r="G84" s="13">
        <v>100</v>
      </c>
      <c r="H84" s="108">
        <f t="shared" si="12"/>
        <v>3400</v>
      </c>
      <c r="I84" s="8"/>
      <c r="J84" s="8"/>
      <c r="K84" s="8"/>
      <c r="L84" s="8"/>
      <c r="M84" s="8"/>
      <c r="N84" s="8"/>
      <c r="O84" s="8"/>
      <c r="P84" s="8"/>
      <c r="Q84" s="13">
        <v>19</v>
      </c>
      <c r="R84" s="13">
        <f t="shared" si="17"/>
        <v>64600</v>
      </c>
      <c r="S84" s="105" t="s">
        <v>525</v>
      </c>
      <c r="T84" s="9">
        <v>1500</v>
      </c>
      <c r="U84" s="15" t="str">
        <f t="shared" si="13"/>
        <v/>
      </c>
      <c r="V84" s="15"/>
      <c r="W84" s="15"/>
      <c r="X84" s="15"/>
      <c r="Y84" s="15"/>
      <c r="Z84" s="15"/>
      <c r="AA84" s="15"/>
      <c r="AB84" s="15"/>
      <c r="AC84" s="15"/>
      <c r="AD84" s="16"/>
    </row>
    <row r="85" spans="1:30" ht="12.75" customHeight="1">
      <c r="A85" s="110" t="s">
        <v>145</v>
      </c>
      <c r="B85" s="6" t="s">
        <v>165</v>
      </c>
      <c r="C85" s="6" t="s">
        <v>166</v>
      </c>
      <c r="D85" s="6" t="s">
        <v>167</v>
      </c>
      <c r="E85" s="13">
        <v>0</v>
      </c>
      <c r="F85" s="13">
        <v>0</v>
      </c>
      <c r="G85" s="13">
        <v>0</v>
      </c>
      <c r="H85" s="108">
        <f t="shared" si="12"/>
        <v>0</v>
      </c>
      <c r="I85" s="13">
        <v>0</v>
      </c>
      <c r="J85" s="13">
        <v>35</v>
      </c>
      <c r="K85" s="13">
        <f t="shared" ref="K85:K91" si="18">H85+I85-J85</f>
        <v>-35</v>
      </c>
      <c r="L85" s="13">
        <v>8.5</v>
      </c>
      <c r="M85" s="13">
        <f>K85*L85</f>
        <v>-297.5</v>
      </c>
      <c r="N85" s="8"/>
      <c r="O85" s="13">
        <v>8.5</v>
      </c>
      <c r="P85" s="13">
        <f t="shared" ref="P85:P91" si="19">K85*O85</f>
        <v>-297.5</v>
      </c>
      <c r="Q85" s="13">
        <v>10</v>
      </c>
      <c r="R85" s="13">
        <f t="shared" si="17"/>
        <v>0</v>
      </c>
      <c r="S85" s="8"/>
      <c r="T85" s="9">
        <v>0</v>
      </c>
      <c r="U85" s="15" t="str">
        <f t="shared" si="13"/>
        <v/>
      </c>
      <c r="V85" s="15"/>
      <c r="W85" s="15"/>
      <c r="X85" s="15"/>
      <c r="Y85" s="15"/>
      <c r="Z85" s="15"/>
      <c r="AA85" s="15"/>
      <c r="AB85" s="15"/>
      <c r="AC85" s="15"/>
      <c r="AD85" s="16"/>
    </row>
    <row r="86" spans="1:30" ht="12.75" customHeight="1">
      <c r="A86" s="110" t="s">
        <v>145</v>
      </c>
      <c r="B86" s="12" t="s">
        <v>168</v>
      </c>
      <c r="C86" s="12" t="s">
        <v>169</v>
      </c>
      <c r="D86" s="12" t="s">
        <v>42</v>
      </c>
      <c r="E86" s="13">
        <v>1700</v>
      </c>
      <c r="F86" s="13">
        <v>0</v>
      </c>
      <c r="G86" s="13">
        <v>1300</v>
      </c>
      <c r="H86" s="108">
        <f t="shared" si="12"/>
        <v>400</v>
      </c>
      <c r="I86" s="13">
        <v>0</v>
      </c>
      <c r="J86" s="13">
        <v>2235</v>
      </c>
      <c r="K86" s="13">
        <f t="shared" si="18"/>
        <v>-1835</v>
      </c>
      <c r="L86" s="13">
        <v>12.5</v>
      </c>
      <c r="M86" s="13">
        <f>K86*L86</f>
        <v>-22937.5</v>
      </c>
      <c r="N86" s="8"/>
      <c r="O86" s="13">
        <v>12.5</v>
      </c>
      <c r="P86" s="13">
        <f t="shared" si="19"/>
        <v>-22937.5</v>
      </c>
      <c r="Q86" s="13">
        <v>22</v>
      </c>
      <c r="R86" s="13">
        <f t="shared" si="17"/>
        <v>8800</v>
      </c>
      <c r="S86" s="134" t="s">
        <v>525</v>
      </c>
      <c r="T86" s="9">
        <v>0</v>
      </c>
      <c r="U86" s="15" t="str">
        <f t="shared" si="13"/>
        <v/>
      </c>
      <c r="V86" s="20" t="s">
        <v>79</v>
      </c>
      <c r="W86" s="15"/>
      <c r="X86" s="15"/>
      <c r="Y86" s="15"/>
      <c r="Z86" s="15"/>
      <c r="AA86" s="15"/>
      <c r="AB86" s="15"/>
      <c r="AC86" s="15"/>
      <c r="AD86" s="16"/>
    </row>
    <row r="87" spans="1:30" ht="12.75" customHeight="1">
      <c r="A87" s="110" t="s">
        <v>145</v>
      </c>
      <c r="B87" s="6" t="s">
        <v>170</v>
      </c>
      <c r="C87" s="100" t="s">
        <v>171</v>
      </c>
      <c r="D87" s="12" t="s">
        <v>172</v>
      </c>
      <c r="E87" s="13">
        <v>21312</v>
      </c>
      <c r="F87" s="13">
        <v>0</v>
      </c>
      <c r="G87" s="13">
        <v>15921</v>
      </c>
      <c r="H87" s="108">
        <f t="shared" si="12"/>
        <v>5391</v>
      </c>
      <c r="I87" s="8"/>
      <c r="J87" s="13">
        <v>200</v>
      </c>
      <c r="K87" s="13">
        <f t="shared" si="18"/>
        <v>5191</v>
      </c>
      <c r="L87" s="8"/>
      <c r="M87" s="8"/>
      <c r="N87" s="8"/>
      <c r="O87" s="8"/>
      <c r="P87" s="13">
        <f t="shared" si="19"/>
        <v>0</v>
      </c>
      <c r="Q87" s="13">
        <v>6.5</v>
      </c>
      <c r="R87" s="13">
        <f t="shared" si="17"/>
        <v>35041.5</v>
      </c>
      <c r="S87" s="105" t="s">
        <v>525</v>
      </c>
      <c r="T87" s="9">
        <v>5000</v>
      </c>
      <c r="U87" s="15" t="str">
        <f t="shared" si="13"/>
        <v/>
      </c>
      <c r="V87" s="15"/>
      <c r="W87" s="15"/>
      <c r="X87" s="15"/>
      <c r="Y87" s="15"/>
      <c r="Z87" s="15"/>
      <c r="AA87" s="15"/>
      <c r="AB87" s="15"/>
      <c r="AC87" s="15"/>
      <c r="AD87" s="16"/>
    </row>
    <row r="88" spans="1:30" ht="12.75" customHeight="1">
      <c r="A88" s="110" t="s">
        <v>145</v>
      </c>
      <c r="B88" s="12" t="s">
        <v>170</v>
      </c>
      <c r="C88" s="90" t="s">
        <v>173</v>
      </c>
      <c r="D88" s="12" t="s">
        <v>42</v>
      </c>
      <c r="E88" s="13">
        <v>3000</v>
      </c>
      <c r="F88" s="13">
        <v>0</v>
      </c>
      <c r="G88" s="13">
        <v>1880</v>
      </c>
      <c r="H88" s="108">
        <f t="shared" si="12"/>
        <v>1120</v>
      </c>
      <c r="I88" s="13">
        <v>0</v>
      </c>
      <c r="J88" s="13">
        <v>0</v>
      </c>
      <c r="K88" s="13">
        <f t="shared" si="18"/>
        <v>1120</v>
      </c>
      <c r="L88" s="13">
        <v>21</v>
      </c>
      <c r="M88" s="13">
        <f>K88*L88</f>
        <v>23520</v>
      </c>
      <c r="N88" s="8"/>
      <c r="O88" s="13">
        <v>21</v>
      </c>
      <c r="P88" s="13">
        <f t="shared" si="19"/>
        <v>23520</v>
      </c>
      <c r="Q88" s="13">
        <v>14</v>
      </c>
      <c r="R88" s="13">
        <f t="shared" si="17"/>
        <v>15680</v>
      </c>
      <c r="S88" s="105" t="s">
        <v>525</v>
      </c>
      <c r="T88" s="9">
        <v>1000</v>
      </c>
      <c r="U88" s="15" t="str">
        <f t="shared" si="13"/>
        <v/>
      </c>
      <c r="V88" s="15"/>
      <c r="W88" s="15"/>
      <c r="X88" s="15"/>
      <c r="Y88" s="15"/>
      <c r="Z88" s="15"/>
      <c r="AA88" s="15"/>
      <c r="AB88" s="15"/>
      <c r="AC88" s="15"/>
      <c r="AD88" s="16"/>
    </row>
    <row r="89" spans="1:30" ht="12.75" customHeight="1">
      <c r="A89" s="110" t="s">
        <v>145</v>
      </c>
      <c r="B89" s="12" t="s">
        <v>174</v>
      </c>
      <c r="C89" s="25" t="s">
        <v>175</v>
      </c>
      <c r="D89" s="25" t="s">
        <v>176</v>
      </c>
      <c r="E89" s="13">
        <v>3416</v>
      </c>
      <c r="F89" s="13">
        <v>0</v>
      </c>
      <c r="G89" s="13">
        <v>4256</v>
      </c>
      <c r="H89" s="108">
        <f t="shared" si="12"/>
        <v>-840</v>
      </c>
      <c r="I89" s="13">
        <v>0</v>
      </c>
      <c r="J89" s="13">
        <v>11741</v>
      </c>
      <c r="K89" s="13">
        <f t="shared" si="18"/>
        <v>-12581</v>
      </c>
      <c r="L89" s="13">
        <v>20</v>
      </c>
      <c r="M89" s="13">
        <f>K89*L89</f>
        <v>-251620</v>
      </c>
      <c r="N89" s="6" t="s">
        <v>177</v>
      </c>
      <c r="O89" s="13">
        <v>20</v>
      </c>
      <c r="P89" s="13">
        <f t="shared" si="19"/>
        <v>-251620</v>
      </c>
      <c r="Q89" s="26">
        <v>16</v>
      </c>
      <c r="R89" s="13">
        <f t="shared" si="17"/>
        <v>-13440</v>
      </c>
      <c r="S89" s="8"/>
      <c r="T89" s="9">
        <v>5000</v>
      </c>
      <c r="U89" s="15" t="str">
        <f t="shared" si="13"/>
        <v>Y</v>
      </c>
      <c r="V89" s="15"/>
      <c r="W89" s="15"/>
      <c r="X89" s="15"/>
      <c r="Y89" s="15"/>
      <c r="Z89" s="15"/>
      <c r="AA89" s="15"/>
      <c r="AB89" s="15"/>
      <c r="AC89" s="15"/>
      <c r="AD89" s="16"/>
    </row>
    <row r="90" spans="1:30" ht="12.75" customHeight="1">
      <c r="A90" s="110" t="s">
        <v>145</v>
      </c>
      <c r="B90" s="12" t="s">
        <v>178</v>
      </c>
      <c r="C90" s="12" t="s">
        <v>175</v>
      </c>
      <c r="D90" s="12" t="s">
        <v>179</v>
      </c>
      <c r="E90" s="13">
        <v>2640</v>
      </c>
      <c r="F90" s="13">
        <v>2640</v>
      </c>
      <c r="G90" s="13">
        <v>0</v>
      </c>
      <c r="H90" s="108">
        <f t="shared" si="12"/>
        <v>5280</v>
      </c>
      <c r="I90" s="13">
        <v>0</v>
      </c>
      <c r="J90" s="13">
        <v>0</v>
      </c>
      <c r="K90" s="13">
        <f t="shared" si="18"/>
        <v>5280</v>
      </c>
      <c r="L90" s="13">
        <v>42</v>
      </c>
      <c r="M90" s="13">
        <f>K90*L90</f>
        <v>221760</v>
      </c>
      <c r="N90" s="8"/>
      <c r="O90" s="13">
        <v>42</v>
      </c>
      <c r="P90" s="13">
        <f t="shared" si="19"/>
        <v>221760</v>
      </c>
      <c r="Q90" s="13">
        <v>28</v>
      </c>
      <c r="R90" s="13">
        <f t="shared" si="17"/>
        <v>147840</v>
      </c>
      <c r="S90" s="6" t="s">
        <v>180</v>
      </c>
      <c r="T90" s="9">
        <v>0</v>
      </c>
      <c r="U90" s="15" t="str">
        <f t="shared" si="13"/>
        <v/>
      </c>
      <c r="V90" s="15"/>
      <c r="W90" s="15"/>
      <c r="X90" s="15"/>
      <c r="Y90" s="15"/>
      <c r="Z90" s="15"/>
      <c r="AA90" s="15"/>
      <c r="AB90" s="15"/>
      <c r="AC90" s="15"/>
      <c r="AD90" s="16"/>
    </row>
    <row r="91" spans="1:30" ht="12.75" customHeight="1">
      <c r="A91" s="110" t="s">
        <v>145</v>
      </c>
      <c r="B91" s="7" t="s">
        <v>182</v>
      </c>
      <c r="C91" s="27" t="s">
        <v>183</v>
      </c>
      <c r="D91" s="12" t="s">
        <v>183</v>
      </c>
      <c r="E91" s="13">
        <v>1500</v>
      </c>
      <c r="F91" s="13">
        <v>0</v>
      </c>
      <c r="G91" s="13">
        <v>600</v>
      </c>
      <c r="H91" s="108">
        <f t="shared" si="12"/>
        <v>900</v>
      </c>
      <c r="I91" s="13">
        <v>0</v>
      </c>
      <c r="J91" s="13">
        <v>2000</v>
      </c>
      <c r="K91" s="13">
        <f t="shared" si="18"/>
        <v>-1100</v>
      </c>
      <c r="L91" s="13">
        <v>13.5</v>
      </c>
      <c r="M91" s="13">
        <f>K91*L91</f>
        <v>-14850</v>
      </c>
      <c r="N91" s="6" t="s">
        <v>184</v>
      </c>
      <c r="O91" s="13">
        <v>13.5</v>
      </c>
      <c r="P91" s="13">
        <f t="shared" si="19"/>
        <v>-14850</v>
      </c>
      <c r="Q91" s="13">
        <v>12</v>
      </c>
      <c r="R91" s="13">
        <f t="shared" si="17"/>
        <v>10800</v>
      </c>
      <c r="S91" s="96"/>
      <c r="T91" s="9">
        <v>0</v>
      </c>
      <c r="U91" s="15" t="str">
        <f t="shared" si="13"/>
        <v/>
      </c>
      <c r="V91" s="15"/>
      <c r="W91" s="15"/>
      <c r="X91" s="15"/>
      <c r="Y91" s="15"/>
      <c r="Z91" s="15"/>
      <c r="AA91" s="15"/>
      <c r="AB91" s="15"/>
      <c r="AC91" s="15"/>
      <c r="AD91" s="16"/>
    </row>
    <row r="92" spans="1:30" ht="12.75" customHeight="1">
      <c r="A92" s="110" t="s">
        <v>145</v>
      </c>
      <c r="B92" s="12" t="s">
        <v>461</v>
      </c>
      <c r="C92" s="28" t="s">
        <v>467</v>
      </c>
      <c r="D92" s="12" t="s">
        <v>460</v>
      </c>
      <c r="E92" s="13">
        <v>500</v>
      </c>
      <c r="F92" s="13">
        <v>40000</v>
      </c>
      <c r="G92" s="13">
        <v>18571</v>
      </c>
      <c r="H92" s="108">
        <f t="shared" si="12"/>
        <v>21929</v>
      </c>
      <c r="I92" s="8"/>
      <c r="J92" s="8"/>
      <c r="K92" s="8"/>
      <c r="L92" s="8"/>
      <c r="M92" s="8"/>
      <c r="N92" s="8"/>
      <c r="O92" s="8"/>
      <c r="P92" s="8"/>
      <c r="Q92" s="13">
        <v>7.5</v>
      </c>
      <c r="R92" s="13">
        <f t="shared" si="17"/>
        <v>164467.5</v>
      </c>
      <c r="S92" s="8" t="s">
        <v>181</v>
      </c>
      <c r="T92" s="9">
        <v>5000</v>
      </c>
      <c r="U92" s="15" t="str">
        <f t="shared" si="13"/>
        <v/>
      </c>
      <c r="V92" s="15"/>
      <c r="W92" s="15"/>
      <c r="X92" s="15"/>
      <c r="Y92" s="15"/>
      <c r="Z92" s="15"/>
      <c r="AA92" s="15"/>
      <c r="AB92" s="15"/>
      <c r="AC92" s="15"/>
      <c r="AD92" s="16"/>
    </row>
    <row r="93" spans="1:30" ht="12.75" customHeight="1">
      <c r="A93" s="110" t="s">
        <v>145</v>
      </c>
      <c r="B93" s="12" t="s">
        <v>186</v>
      </c>
      <c r="C93" s="29" t="s">
        <v>187</v>
      </c>
      <c r="D93" s="12"/>
      <c r="E93" s="13">
        <v>12000</v>
      </c>
      <c r="F93" s="13">
        <v>20000</v>
      </c>
      <c r="G93" s="13">
        <v>15600</v>
      </c>
      <c r="H93" s="108">
        <f t="shared" si="12"/>
        <v>16400</v>
      </c>
      <c r="I93" s="13">
        <v>12000</v>
      </c>
      <c r="J93" s="13">
        <v>13100</v>
      </c>
      <c r="K93" s="13">
        <f>H93+I93-J93</f>
        <v>15300</v>
      </c>
      <c r="L93" s="13">
        <v>4.6500000000000004</v>
      </c>
      <c r="M93" s="13">
        <f>K93*L93</f>
        <v>71145</v>
      </c>
      <c r="N93" s="18"/>
      <c r="O93" s="13">
        <v>4.6500000000000004</v>
      </c>
      <c r="P93" s="13">
        <f>K93*O93</f>
        <v>71145</v>
      </c>
      <c r="Q93" s="13">
        <v>4.3499999999999996</v>
      </c>
      <c r="R93" s="13">
        <f t="shared" si="17"/>
        <v>71340</v>
      </c>
      <c r="S93" s="8" t="s">
        <v>489</v>
      </c>
      <c r="T93" s="9">
        <v>5000</v>
      </c>
      <c r="U93" s="15" t="str">
        <f t="shared" si="13"/>
        <v/>
      </c>
      <c r="V93" s="15"/>
      <c r="W93" s="15"/>
      <c r="X93" s="15"/>
      <c r="Y93" s="15"/>
      <c r="Z93" s="15"/>
      <c r="AA93" s="15"/>
      <c r="AB93" s="15"/>
      <c r="AC93" s="15"/>
      <c r="AD93" s="16"/>
    </row>
    <row r="94" spans="1:30" ht="12.75" customHeight="1">
      <c r="A94" s="110" t="s">
        <v>145</v>
      </c>
      <c r="B94" s="12" t="s">
        <v>189</v>
      </c>
      <c r="C94" s="12" t="s">
        <v>190</v>
      </c>
      <c r="D94" s="12" t="s">
        <v>188</v>
      </c>
      <c r="E94" s="13">
        <v>18000</v>
      </c>
      <c r="F94" s="13">
        <v>0</v>
      </c>
      <c r="G94" s="13">
        <v>10000</v>
      </c>
      <c r="H94" s="108">
        <f t="shared" si="12"/>
        <v>8000</v>
      </c>
      <c r="I94" s="13">
        <v>0</v>
      </c>
      <c r="J94" s="13">
        <v>1500</v>
      </c>
      <c r="K94" s="13">
        <f>H94+I94-J94</f>
        <v>6500</v>
      </c>
      <c r="L94" s="13">
        <v>7</v>
      </c>
      <c r="M94" s="13">
        <f>K94*L94</f>
        <v>45500</v>
      </c>
      <c r="N94" s="8"/>
      <c r="O94" s="13">
        <v>7</v>
      </c>
      <c r="P94" s="13">
        <f>K94*O94</f>
        <v>45500</v>
      </c>
      <c r="Q94" s="13">
        <v>3.75</v>
      </c>
      <c r="R94" s="13">
        <f t="shared" si="17"/>
        <v>30000</v>
      </c>
      <c r="S94" s="8"/>
      <c r="T94" s="9">
        <v>0</v>
      </c>
      <c r="U94" s="15" t="str">
        <f t="shared" si="13"/>
        <v/>
      </c>
      <c r="V94" s="15"/>
      <c r="W94" s="15"/>
      <c r="X94" s="15"/>
      <c r="Y94" s="15"/>
      <c r="Z94" s="15"/>
      <c r="AA94" s="15"/>
      <c r="AB94" s="15"/>
      <c r="AC94" s="15"/>
      <c r="AD94" s="16"/>
    </row>
    <row r="95" spans="1:30" ht="12.75" customHeight="1">
      <c r="A95" s="110" t="s">
        <v>145</v>
      </c>
      <c r="B95" s="12" t="s">
        <v>191</v>
      </c>
      <c r="C95" s="12" t="s">
        <v>191</v>
      </c>
      <c r="D95" s="12" t="s">
        <v>192</v>
      </c>
      <c r="E95" s="13">
        <v>0</v>
      </c>
      <c r="F95" s="13">
        <v>0</v>
      </c>
      <c r="G95" s="13">
        <v>0</v>
      </c>
      <c r="H95" s="108">
        <f t="shared" si="12"/>
        <v>0</v>
      </c>
      <c r="I95" s="8"/>
      <c r="J95" s="8"/>
      <c r="K95" s="8"/>
      <c r="L95" s="8"/>
      <c r="M95" s="8"/>
      <c r="N95" s="8"/>
      <c r="O95" s="8"/>
      <c r="P95" s="8"/>
      <c r="Q95" s="13">
        <v>0.45</v>
      </c>
      <c r="R95" s="13">
        <f t="shared" si="17"/>
        <v>0</v>
      </c>
      <c r="S95" s="8" t="s">
        <v>518</v>
      </c>
      <c r="T95" s="9">
        <v>0</v>
      </c>
      <c r="U95" s="15" t="str">
        <f t="shared" si="13"/>
        <v/>
      </c>
      <c r="V95" s="15"/>
      <c r="W95" s="15"/>
      <c r="X95" s="15"/>
      <c r="Y95" s="15"/>
      <c r="Z95" s="15"/>
      <c r="AA95" s="15"/>
      <c r="AB95" s="15"/>
      <c r="AC95" s="15"/>
      <c r="AD95" s="16"/>
    </row>
    <row r="96" spans="1:30" ht="12.75" customHeight="1">
      <c r="A96" s="110" t="s">
        <v>145</v>
      </c>
      <c r="B96" s="12" t="s">
        <v>193</v>
      </c>
      <c r="C96" s="12" t="s">
        <v>541</v>
      </c>
      <c r="D96" s="12" t="s">
        <v>542</v>
      </c>
      <c r="E96" s="13">
        <v>500</v>
      </c>
      <c r="F96" s="13"/>
      <c r="G96" s="13"/>
      <c r="H96" s="108">
        <f t="shared" si="12"/>
        <v>500</v>
      </c>
      <c r="I96" s="8"/>
      <c r="J96" s="8"/>
      <c r="K96" s="8"/>
      <c r="L96" s="8"/>
      <c r="M96" s="8"/>
      <c r="N96" s="8"/>
      <c r="O96" s="8"/>
      <c r="P96" s="8"/>
      <c r="Q96" s="13">
        <v>8</v>
      </c>
      <c r="R96" s="13">
        <f t="shared" si="17"/>
        <v>4000</v>
      </c>
      <c r="S96" s="8"/>
      <c r="T96" s="9"/>
      <c r="U96" s="15" t="str">
        <f>IF(T96&gt;H96,"Y","")</f>
        <v/>
      </c>
      <c r="V96" s="15"/>
      <c r="W96" s="15"/>
      <c r="X96" s="15"/>
      <c r="Y96" s="15"/>
      <c r="Z96" s="15"/>
      <c r="AA96" s="15"/>
      <c r="AB96" s="15"/>
      <c r="AC96" s="15"/>
      <c r="AD96" s="16"/>
    </row>
    <row r="97" spans="1:30" ht="12.75" customHeight="1">
      <c r="A97" s="110" t="s">
        <v>145</v>
      </c>
      <c r="B97" s="12" t="s">
        <v>193</v>
      </c>
      <c r="C97" s="12" t="s">
        <v>194</v>
      </c>
      <c r="D97" s="12" t="s">
        <v>42</v>
      </c>
      <c r="E97" s="13">
        <v>12000</v>
      </c>
      <c r="F97" s="13">
        <v>12700</v>
      </c>
      <c r="G97" s="13">
        <v>6121</v>
      </c>
      <c r="H97" s="108">
        <f t="shared" si="12"/>
        <v>18579</v>
      </c>
      <c r="I97" s="8"/>
      <c r="J97" s="8"/>
      <c r="K97" s="8"/>
      <c r="L97" s="8"/>
      <c r="M97" s="8"/>
      <c r="N97" s="8"/>
      <c r="O97" s="8"/>
      <c r="P97" s="8"/>
      <c r="Q97" s="13">
        <v>5</v>
      </c>
      <c r="R97" s="13">
        <f t="shared" si="17"/>
        <v>92895</v>
      </c>
      <c r="S97" s="105" t="s">
        <v>525</v>
      </c>
      <c r="T97" s="9">
        <v>5000</v>
      </c>
      <c r="U97" s="15" t="str">
        <f t="shared" si="13"/>
        <v/>
      </c>
      <c r="V97" s="15"/>
      <c r="W97" s="15"/>
      <c r="X97" s="15"/>
      <c r="Y97" s="15"/>
      <c r="Z97" s="15"/>
      <c r="AA97" s="15"/>
      <c r="AB97" s="15"/>
      <c r="AC97" s="15"/>
      <c r="AD97" s="16"/>
    </row>
    <row r="98" spans="1:30" ht="12.75" customHeight="1">
      <c r="A98" s="110" t="s">
        <v>195</v>
      </c>
      <c r="B98" s="6" t="s">
        <v>196</v>
      </c>
      <c r="C98" s="6" t="s">
        <v>197</v>
      </c>
      <c r="D98" s="6" t="s">
        <v>198</v>
      </c>
      <c r="E98" s="13">
        <v>600</v>
      </c>
      <c r="F98" s="13">
        <v>0</v>
      </c>
      <c r="G98" s="13">
        <v>200</v>
      </c>
      <c r="H98" s="108">
        <f t="shared" si="12"/>
        <v>400</v>
      </c>
      <c r="I98" s="13">
        <v>0</v>
      </c>
      <c r="J98" s="13">
        <v>0</v>
      </c>
      <c r="K98" s="13">
        <f t="shared" ref="K98:K106" si="20">H98+I98-J98</f>
        <v>400</v>
      </c>
      <c r="L98" s="13">
        <v>6.5</v>
      </c>
      <c r="M98" s="13">
        <f t="shared" ref="M98:M104" si="21">K98*L98</f>
        <v>2600</v>
      </c>
      <c r="N98" s="17"/>
      <c r="O98" s="13">
        <v>6.5</v>
      </c>
      <c r="P98" s="13">
        <f t="shared" ref="P98:P106" si="22">K98*O98</f>
        <v>2600</v>
      </c>
      <c r="Q98" s="13">
        <v>6.5</v>
      </c>
      <c r="R98" s="13">
        <f t="shared" si="17"/>
        <v>2600</v>
      </c>
      <c r="S98" s="8"/>
      <c r="T98" s="9">
        <v>0</v>
      </c>
      <c r="U98" s="15" t="str">
        <f t="shared" si="13"/>
        <v/>
      </c>
      <c r="V98" s="15"/>
      <c r="W98" s="15"/>
      <c r="X98" s="15"/>
      <c r="Y98" s="15"/>
      <c r="Z98" s="15"/>
      <c r="AA98" s="15"/>
      <c r="AB98" s="15"/>
      <c r="AC98" s="15"/>
      <c r="AD98" s="16"/>
    </row>
    <row r="99" spans="1:30" ht="12.75" customHeight="1">
      <c r="A99" s="110" t="s">
        <v>195</v>
      </c>
      <c r="B99" s="6" t="s">
        <v>95</v>
      </c>
      <c r="C99" s="6" t="s">
        <v>199</v>
      </c>
      <c r="D99" s="6" t="s">
        <v>95</v>
      </c>
      <c r="E99" s="13">
        <v>800</v>
      </c>
      <c r="F99" s="13">
        <v>0</v>
      </c>
      <c r="G99" s="13">
        <v>200</v>
      </c>
      <c r="H99" s="108">
        <f t="shared" si="12"/>
        <v>600</v>
      </c>
      <c r="I99" s="13">
        <v>0</v>
      </c>
      <c r="J99" s="13">
        <v>0</v>
      </c>
      <c r="K99" s="13">
        <f t="shared" si="20"/>
        <v>600</v>
      </c>
      <c r="L99" s="13">
        <v>1.6</v>
      </c>
      <c r="M99" s="13">
        <f t="shared" si="21"/>
        <v>960</v>
      </c>
      <c r="N99" s="17"/>
      <c r="O99" s="13">
        <v>1.6</v>
      </c>
      <c r="P99" s="13">
        <f t="shared" si="22"/>
        <v>960</v>
      </c>
      <c r="Q99" s="13">
        <v>2.0299999999999998</v>
      </c>
      <c r="R99" s="13">
        <f t="shared" si="17"/>
        <v>1217.9999999999998</v>
      </c>
      <c r="S99" s="8"/>
      <c r="T99" s="9">
        <v>0</v>
      </c>
      <c r="U99" s="15" t="str">
        <f t="shared" si="13"/>
        <v/>
      </c>
      <c r="V99" s="15"/>
      <c r="W99" s="15"/>
      <c r="X99" s="15"/>
      <c r="Y99" s="15"/>
      <c r="Z99" s="15"/>
      <c r="AA99" s="15"/>
      <c r="AB99" s="15"/>
      <c r="AC99" s="15"/>
      <c r="AD99" s="16"/>
    </row>
    <row r="100" spans="1:30" ht="12.75" customHeight="1">
      <c r="A100" s="110" t="s">
        <v>195</v>
      </c>
      <c r="B100" s="6" t="s">
        <v>95</v>
      </c>
      <c r="C100" s="6" t="s">
        <v>200</v>
      </c>
      <c r="D100" s="6" t="s">
        <v>95</v>
      </c>
      <c r="E100" s="13">
        <v>600</v>
      </c>
      <c r="F100" s="13">
        <v>0</v>
      </c>
      <c r="G100" s="13">
        <v>0</v>
      </c>
      <c r="H100" s="108">
        <f t="shared" si="12"/>
        <v>600</v>
      </c>
      <c r="I100" s="13">
        <v>0</v>
      </c>
      <c r="J100" s="13">
        <v>0</v>
      </c>
      <c r="K100" s="13">
        <f t="shared" si="20"/>
        <v>600</v>
      </c>
      <c r="L100" s="13">
        <v>2.4</v>
      </c>
      <c r="M100" s="13">
        <f t="shared" si="21"/>
        <v>1440</v>
      </c>
      <c r="N100" s="17"/>
      <c r="O100" s="13">
        <v>2.4</v>
      </c>
      <c r="P100" s="13">
        <f t="shared" si="22"/>
        <v>1440</v>
      </c>
      <c r="Q100" s="13">
        <v>2.4</v>
      </c>
      <c r="R100" s="13">
        <f t="shared" si="17"/>
        <v>1440</v>
      </c>
      <c r="S100" s="8"/>
      <c r="T100" s="9">
        <v>0</v>
      </c>
      <c r="U100" s="15" t="str">
        <f t="shared" si="13"/>
        <v/>
      </c>
      <c r="V100" s="15"/>
      <c r="W100" s="15"/>
      <c r="X100" s="15"/>
      <c r="Y100" s="15"/>
      <c r="Z100" s="15"/>
      <c r="AA100" s="15"/>
      <c r="AB100" s="15"/>
      <c r="AC100" s="15"/>
      <c r="AD100" s="16"/>
    </row>
    <row r="101" spans="1:30" ht="12.75" customHeight="1">
      <c r="A101" s="110" t="s">
        <v>201</v>
      </c>
      <c r="B101" s="6" t="s">
        <v>202</v>
      </c>
      <c r="C101" s="6" t="s">
        <v>202</v>
      </c>
      <c r="D101" s="12"/>
      <c r="E101" s="13">
        <v>2</v>
      </c>
      <c r="F101" s="13">
        <v>0</v>
      </c>
      <c r="G101" s="13">
        <v>1</v>
      </c>
      <c r="H101" s="108">
        <f t="shared" si="12"/>
        <v>1</v>
      </c>
      <c r="I101" s="13">
        <v>0</v>
      </c>
      <c r="J101" s="13">
        <v>6</v>
      </c>
      <c r="K101" s="13">
        <f t="shared" si="20"/>
        <v>-5</v>
      </c>
      <c r="L101" s="13">
        <v>850</v>
      </c>
      <c r="M101" s="13">
        <f t="shared" si="21"/>
        <v>-4250</v>
      </c>
      <c r="N101" s="17"/>
      <c r="O101" s="13">
        <v>850</v>
      </c>
      <c r="P101" s="13">
        <f t="shared" si="22"/>
        <v>-4250</v>
      </c>
      <c r="Q101" s="13">
        <v>850</v>
      </c>
      <c r="R101" s="13">
        <f t="shared" si="17"/>
        <v>850</v>
      </c>
      <c r="S101" s="8"/>
      <c r="T101" s="9">
        <v>0</v>
      </c>
      <c r="U101" s="15" t="str">
        <f t="shared" si="13"/>
        <v/>
      </c>
      <c r="V101" s="15"/>
      <c r="W101" s="15"/>
      <c r="X101" s="15"/>
      <c r="Y101" s="15"/>
      <c r="Z101" s="15"/>
      <c r="AA101" s="15"/>
      <c r="AB101" s="15"/>
      <c r="AC101" s="15"/>
      <c r="AD101" s="16"/>
    </row>
    <row r="102" spans="1:30" ht="12.75" customHeight="1">
      <c r="A102" s="110" t="s">
        <v>203</v>
      </c>
      <c r="B102" s="6" t="s">
        <v>77</v>
      </c>
      <c r="C102" s="6" t="s">
        <v>204</v>
      </c>
      <c r="D102" s="6" t="s">
        <v>77</v>
      </c>
      <c r="E102" s="13">
        <v>500</v>
      </c>
      <c r="F102" s="13">
        <v>0</v>
      </c>
      <c r="G102" s="13">
        <v>0</v>
      </c>
      <c r="H102" s="108">
        <f t="shared" si="12"/>
        <v>500</v>
      </c>
      <c r="I102" s="13">
        <v>0</v>
      </c>
      <c r="J102" s="13">
        <v>0</v>
      </c>
      <c r="K102" s="13">
        <f t="shared" si="20"/>
        <v>500</v>
      </c>
      <c r="L102" s="13">
        <v>0.75</v>
      </c>
      <c r="M102" s="13">
        <f t="shared" si="21"/>
        <v>375</v>
      </c>
      <c r="N102" s="17"/>
      <c r="O102" s="13">
        <v>0.75</v>
      </c>
      <c r="P102" s="13">
        <f t="shared" si="22"/>
        <v>375</v>
      </c>
      <c r="Q102" s="13">
        <v>0.75</v>
      </c>
      <c r="R102" s="13">
        <f t="shared" si="17"/>
        <v>375</v>
      </c>
      <c r="S102" s="8"/>
      <c r="T102" s="9">
        <v>0</v>
      </c>
      <c r="U102" s="15" t="str">
        <f t="shared" si="13"/>
        <v/>
      </c>
      <c r="V102" s="15"/>
      <c r="W102" s="15"/>
      <c r="X102" s="15"/>
      <c r="Y102" s="15"/>
      <c r="Z102" s="15"/>
      <c r="AA102" s="15"/>
      <c r="AB102" s="15"/>
      <c r="AC102" s="15"/>
      <c r="AD102" s="16"/>
    </row>
    <row r="103" spans="1:30" ht="12.75" customHeight="1">
      <c r="A103" s="110" t="s">
        <v>203</v>
      </c>
      <c r="B103" s="6" t="s">
        <v>205</v>
      </c>
      <c r="C103" s="6" t="s">
        <v>206</v>
      </c>
      <c r="D103" s="6" t="s">
        <v>205</v>
      </c>
      <c r="E103" s="13">
        <v>1000</v>
      </c>
      <c r="F103" s="13">
        <v>1000</v>
      </c>
      <c r="G103" s="13">
        <v>30</v>
      </c>
      <c r="H103" s="108">
        <f t="shared" si="12"/>
        <v>1970</v>
      </c>
      <c r="I103" s="13">
        <v>3000</v>
      </c>
      <c r="J103" s="13">
        <v>1000</v>
      </c>
      <c r="K103" s="13">
        <f t="shared" si="20"/>
        <v>3970</v>
      </c>
      <c r="L103" s="13">
        <v>1</v>
      </c>
      <c r="M103" s="13">
        <f t="shared" si="21"/>
        <v>3970</v>
      </c>
      <c r="N103" s="17"/>
      <c r="O103" s="13">
        <v>1</v>
      </c>
      <c r="P103" s="13">
        <f t="shared" si="22"/>
        <v>3970</v>
      </c>
      <c r="Q103" s="13">
        <v>0.68</v>
      </c>
      <c r="R103" s="13">
        <f t="shared" si="17"/>
        <v>1339.6000000000001</v>
      </c>
      <c r="S103" s="8"/>
      <c r="T103" s="9">
        <v>0</v>
      </c>
      <c r="U103" s="15" t="str">
        <f t="shared" si="13"/>
        <v/>
      </c>
      <c r="V103" s="15"/>
      <c r="W103" s="15"/>
      <c r="X103" s="15"/>
      <c r="Y103" s="15"/>
      <c r="Z103" s="15"/>
      <c r="AA103" s="15"/>
      <c r="AB103" s="15"/>
      <c r="AC103" s="15"/>
      <c r="AD103" s="16"/>
    </row>
    <row r="104" spans="1:30" ht="12.75" customHeight="1">
      <c r="A104" s="110" t="s">
        <v>207</v>
      </c>
      <c r="B104" s="6" t="s">
        <v>208</v>
      </c>
      <c r="C104" s="6" t="s">
        <v>208</v>
      </c>
      <c r="D104" s="12" t="s">
        <v>209</v>
      </c>
      <c r="E104" s="13">
        <v>5000</v>
      </c>
      <c r="F104" s="13">
        <v>0</v>
      </c>
      <c r="G104" s="13">
        <v>0</v>
      </c>
      <c r="H104" s="108">
        <f t="shared" si="12"/>
        <v>5000</v>
      </c>
      <c r="I104" s="13">
        <v>0</v>
      </c>
      <c r="J104" s="13">
        <v>10000</v>
      </c>
      <c r="K104" s="13">
        <f t="shared" si="20"/>
        <v>-5000</v>
      </c>
      <c r="L104" s="13">
        <v>0.09</v>
      </c>
      <c r="M104" s="13">
        <f t="shared" si="21"/>
        <v>-450</v>
      </c>
      <c r="N104" s="17"/>
      <c r="O104" s="13">
        <v>0.09</v>
      </c>
      <c r="P104" s="13">
        <f t="shared" si="22"/>
        <v>-450</v>
      </c>
      <c r="Q104" s="13">
        <v>7.4999999999999997E-2</v>
      </c>
      <c r="R104" s="13">
        <f t="shared" si="17"/>
        <v>375</v>
      </c>
      <c r="S104" s="8"/>
      <c r="T104" s="9">
        <v>5000</v>
      </c>
      <c r="U104" s="15" t="str">
        <f t="shared" si="13"/>
        <v/>
      </c>
      <c r="V104" s="15"/>
      <c r="W104" s="15"/>
      <c r="X104" s="15"/>
      <c r="Y104" s="15"/>
      <c r="Z104" s="20" t="s">
        <v>218</v>
      </c>
      <c r="AA104" s="15"/>
      <c r="AB104" s="15"/>
      <c r="AC104" s="15"/>
      <c r="AD104" s="16"/>
    </row>
    <row r="105" spans="1:30" ht="12.75" customHeight="1">
      <c r="A105" s="110" t="s">
        <v>207</v>
      </c>
      <c r="B105" s="6" t="s">
        <v>208</v>
      </c>
      <c r="C105" s="6" t="s">
        <v>208</v>
      </c>
      <c r="D105" s="12" t="s">
        <v>42</v>
      </c>
      <c r="E105" s="13">
        <v>20000</v>
      </c>
      <c r="F105" s="13">
        <v>0</v>
      </c>
      <c r="G105" s="13">
        <v>8810</v>
      </c>
      <c r="H105" s="108">
        <f t="shared" si="12"/>
        <v>11190</v>
      </c>
      <c r="I105" s="8"/>
      <c r="J105" s="8"/>
      <c r="K105" s="13">
        <f t="shared" si="20"/>
        <v>11190</v>
      </c>
      <c r="L105" s="8"/>
      <c r="M105" s="8"/>
      <c r="N105" s="17"/>
      <c r="O105" s="13">
        <v>4.4999999999999998E-2</v>
      </c>
      <c r="P105" s="13">
        <f t="shared" si="22"/>
        <v>503.54999999999995</v>
      </c>
      <c r="Q105" s="13">
        <v>4.4999999999999998E-2</v>
      </c>
      <c r="R105" s="13">
        <f t="shared" si="17"/>
        <v>503.54999999999995</v>
      </c>
      <c r="S105" s="8"/>
      <c r="T105" s="9">
        <v>5000</v>
      </c>
      <c r="U105" s="15" t="str">
        <f t="shared" si="13"/>
        <v/>
      </c>
      <c r="V105" s="15"/>
      <c r="W105" s="15"/>
      <c r="X105" s="15"/>
      <c r="Y105" s="15"/>
      <c r="Z105" s="15"/>
      <c r="AA105" s="15"/>
      <c r="AB105" s="15"/>
      <c r="AC105" s="15"/>
      <c r="AD105" s="16"/>
    </row>
    <row r="106" spans="1:30" ht="12.75" customHeight="1">
      <c r="A106" s="110" t="s">
        <v>207</v>
      </c>
      <c r="B106" s="6" t="s">
        <v>210</v>
      </c>
      <c r="C106" s="6" t="s">
        <v>210</v>
      </c>
      <c r="D106" s="12" t="s">
        <v>42</v>
      </c>
      <c r="E106" s="13">
        <v>3000</v>
      </c>
      <c r="F106" s="13">
        <v>0</v>
      </c>
      <c r="G106" s="13">
        <v>0</v>
      </c>
      <c r="H106" s="108">
        <f t="shared" si="12"/>
        <v>3000</v>
      </c>
      <c r="I106" s="13">
        <v>0</v>
      </c>
      <c r="J106" s="13">
        <v>0</v>
      </c>
      <c r="K106" s="13">
        <f t="shared" si="20"/>
        <v>3000</v>
      </c>
      <c r="L106" s="13">
        <v>0.08</v>
      </c>
      <c r="M106" s="13">
        <f>K106*L106</f>
        <v>240</v>
      </c>
      <c r="N106" s="8"/>
      <c r="O106" s="13">
        <v>0.08</v>
      </c>
      <c r="P106" s="13">
        <f t="shared" si="22"/>
        <v>240</v>
      </c>
      <c r="Q106" s="13">
        <v>0.09</v>
      </c>
      <c r="R106" s="13">
        <f t="shared" si="17"/>
        <v>270</v>
      </c>
      <c r="S106" s="8"/>
      <c r="T106" s="9">
        <v>0</v>
      </c>
      <c r="U106" s="15" t="str">
        <f t="shared" si="13"/>
        <v/>
      </c>
      <c r="V106" s="15"/>
      <c r="W106" s="15"/>
      <c r="X106" s="15"/>
      <c r="Y106" s="15"/>
      <c r="Z106" s="15"/>
      <c r="AA106" s="15"/>
      <c r="AB106" s="15"/>
      <c r="AC106" s="15"/>
      <c r="AD106" s="16"/>
    </row>
    <row r="107" spans="1:30" ht="12.75" customHeight="1">
      <c r="A107" s="110" t="s">
        <v>207</v>
      </c>
      <c r="B107" s="6" t="s">
        <v>210</v>
      </c>
      <c r="C107" s="6" t="s">
        <v>210</v>
      </c>
      <c r="D107" s="12" t="s">
        <v>209</v>
      </c>
      <c r="E107" s="13">
        <v>10000</v>
      </c>
      <c r="F107" s="13">
        <v>0</v>
      </c>
      <c r="G107" s="13">
        <v>0</v>
      </c>
      <c r="H107" s="108">
        <f t="shared" si="12"/>
        <v>10000</v>
      </c>
      <c r="I107" s="8"/>
      <c r="J107" s="8"/>
      <c r="K107" s="8"/>
      <c r="L107" s="8"/>
      <c r="M107" s="8"/>
      <c r="N107" s="8"/>
      <c r="O107" s="8"/>
      <c r="P107" s="8"/>
      <c r="Q107" s="13">
        <v>0.1</v>
      </c>
      <c r="R107" s="13">
        <f t="shared" si="17"/>
        <v>1000</v>
      </c>
      <c r="S107" s="8"/>
      <c r="T107" s="9">
        <v>0</v>
      </c>
      <c r="U107" s="15" t="str">
        <f t="shared" si="13"/>
        <v/>
      </c>
      <c r="V107" s="15"/>
      <c r="W107" s="15"/>
      <c r="X107" s="15"/>
      <c r="Y107" s="15"/>
      <c r="Z107" s="15"/>
      <c r="AA107" s="15"/>
      <c r="AB107" s="15"/>
      <c r="AC107" s="15"/>
      <c r="AD107" s="16"/>
    </row>
    <row r="108" spans="1:30" ht="12.75" customHeight="1">
      <c r="A108" s="110" t="s">
        <v>207</v>
      </c>
      <c r="B108" s="6" t="s">
        <v>211</v>
      </c>
      <c r="C108" s="6" t="s">
        <v>211</v>
      </c>
      <c r="D108" s="12" t="s">
        <v>209</v>
      </c>
      <c r="E108" s="13">
        <v>10000</v>
      </c>
      <c r="F108" s="13">
        <v>0</v>
      </c>
      <c r="G108" s="13">
        <v>5000</v>
      </c>
      <c r="H108" s="108">
        <f t="shared" si="12"/>
        <v>5000</v>
      </c>
      <c r="I108" s="13">
        <v>0</v>
      </c>
      <c r="J108" s="13">
        <v>1000</v>
      </c>
      <c r="K108" s="13">
        <f t="shared" ref="K108:K129" si="23">H108+I108-J108</f>
        <v>4000</v>
      </c>
      <c r="L108" s="13">
        <v>0.08</v>
      </c>
      <c r="M108" s="13">
        <f>K108*L108</f>
        <v>320</v>
      </c>
      <c r="N108" s="30"/>
      <c r="O108" s="13">
        <v>0.08</v>
      </c>
      <c r="P108" s="13">
        <f t="shared" ref="P108:P129" si="24">K108*O108</f>
        <v>320</v>
      </c>
      <c r="Q108" s="13">
        <v>7.4999999999999997E-2</v>
      </c>
      <c r="R108" s="13">
        <f t="shared" si="17"/>
        <v>375</v>
      </c>
      <c r="S108" s="8"/>
      <c r="T108" s="9">
        <v>0</v>
      </c>
      <c r="U108" s="15" t="str">
        <f t="shared" si="13"/>
        <v/>
      </c>
      <c r="V108" s="15"/>
      <c r="W108" s="15"/>
      <c r="X108" s="15"/>
      <c r="Y108" s="15"/>
      <c r="Z108" s="15"/>
      <c r="AA108" s="15"/>
      <c r="AB108" s="15"/>
      <c r="AC108" s="15"/>
      <c r="AD108" s="16"/>
    </row>
    <row r="109" spans="1:30" ht="12.75" customHeight="1">
      <c r="A109" s="110" t="s">
        <v>207</v>
      </c>
      <c r="B109" s="6" t="s">
        <v>211</v>
      </c>
      <c r="C109" s="6" t="s">
        <v>211</v>
      </c>
      <c r="D109" s="12" t="s">
        <v>42</v>
      </c>
      <c r="E109" s="13">
        <v>30000</v>
      </c>
      <c r="F109" s="13">
        <v>50000</v>
      </c>
      <c r="G109" s="13">
        <v>46030</v>
      </c>
      <c r="H109" s="108">
        <f t="shared" si="12"/>
        <v>33970</v>
      </c>
      <c r="I109" s="8"/>
      <c r="J109" s="13">
        <v>5000</v>
      </c>
      <c r="K109" s="13">
        <f t="shared" si="23"/>
        <v>28970</v>
      </c>
      <c r="L109" s="8"/>
      <c r="M109" s="8"/>
      <c r="N109" s="30"/>
      <c r="O109" s="13">
        <v>4.4999999999999998E-2</v>
      </c>
      <c r="P109" s="13">
        <f t="shared" si="24"/>
        <v>1303.6499999999999</v>
      </c>
      <c r="Q109" s="13">
        <v>4.4999999999999998E-2</v>
      </c>
      <c r="R109" s="13">
        <f t="shared" si="17"/>
        <v>1528.6499999999999</v>
      </c>
      <c r="S109" s="105" t="s">
        <v>525</v>
      </c>
      <c r="T109" s="9">
        <v>5000</v>
      </c>
      <c r="U109" s="15" t="str">
        <f t="shared" si="13"/>
        <v/>
      </c>
      <c r="V109" s="15"/>
      <c r="W109" s="15"/>
      <c r="X109" s="15"/>
      <c r="Y109" s="15"/>
      <c r="Z109" s="15"/>
      <c r="AA109" s="15"/>
      <c r="AB109" s="15"/>
      <c r="AC109" s="15"/>
      <c r="AD109" s="16"/>
    </row>
    <row r="110" spans="1:30" ht="12.75" customHeight="1">
      <c r="A110" s="110" t="s">
        <v>207</v>
      </c>
      <c r="B110" s="12" t="s">
        <v>212</v>
      </c>
      <c r="C110" s="6" t="s">
        <v>212</v>
      </c>
      <c r="D110" s="12" t="s">
        <v>213</v>
      </c>
      <c r="E110" s="13">
        <v>15000</v>
      </c>
      <c r="F110" s="13">
        <v>10000</v>
      </c>
      <c r="G110" s="13">
        <v>19000</v>
      </c>
      <c r="H110" s="108">
        <f t="shared" si="12"/>
        <v>6000</v>
      </c>
      <c r="I110" s="13">
        <v>45000</v>
      </c>
      <c r="J110" s="13">
        <v>10000</v>
      </c>
      <c r="K110" s="13">
        <f t="shared" si="23"/>
        <v>41000</v>
      </c>
      <c r="L110" s="13">
        <v>0.41</v>
      </c>
      <c r="M110" s="13">
        <f>K110*L110</f>
        <v>16810</v>
      </c>
      <c r="N110" s="31"/>
      <c r="O110" s="13">
        <v>0.41</v>
      </c>
      <c r="P110" s="13">
        <f t="shared" si="24"/>
        <v>16810</v>
      </c>
      <c r="Q110" s="13">
        <v>0.38</v>
      </c>
      <c r="R110" s="13">
        <f t="shared" si="17"/>
        <v>2280</v>
      </c>
      <c r="S110" s="8"/>
      <c r="T110" s="9">
        <v>5000</v>
      </c>
      <c r="U110" s="15" t="str">
        <f t="shared" si="13"/>
        <v/>
      </c>
      <c r="V110" s="15"/>
      <c r="W110" s="15"/>
      <c r="X110" s="15"/>
      <c r="Y110" s="15"/>
      <c r="Z110" s="15"/>
      <c r="AA110" s="15"/>
      <c r="AB110" s="15"/>
      <c r="AC110" s="15"/>
      <c r="AD110" s="16"/>
    </row>
    <row r="111" spans="1:30" ht="12.75" customHeight="1">
      <c r="A111" s="110" t="s">
        <v>207</v>
      </c>
      <c r="B111" s="12" t="s">
        <v>212</v>
      </c>
      <c r="C111" s="12" t="s">
        <v>212</v>
      </c>
      <c r="D111" s="12" t="s">
        <v>42</v>
      </c>
      <c r="E111" s="13">
        <v>3000</v>
      </c>
      <c r="F111" s="13">
        <v>0</v>
      </c>
      <c r="G111" s="13">
        <v>300</v>
      </c>
      <c r="H111" s="108">
        <f t="shared" si="12"/>
        <v>2700</v>
      </c>
      <c r="I111" s="13">
        <v>4000</v>
      </c>
      <c r="J111" s="13">
        <v>1000</v>
      </c>
      <c r="K111" s="13">
        <f t="shared" si="23"/>
        <v>5700</v>
      </c>
      <c r="L111" s="8"/>
      <c r="M111" s="8"/>
      <c r="N111" s="31"/>
      <c r="O111" s="13">
        <v>0.85</v>
      </c>
      <c r="P111" s="13">
        <f t="shared" si="24"/>
        <v>4845</v>
      </c>
      <c r="Q111" s="13">
        <v>0.8</v>
      </c>
      <c r="R111" s="13">
        <f t="shared" si="17"/>
        <v>2160</v>
      </c>
      <c r="S111" s="105" t="s">
        <v>525</v>
      </c>
      <c r="T111" s="9">
        <v>0</v>
      </c>
      <c r="U111" s="15" t="str">
        <f t="shared" si="13"/>
        <v/>
      </c>
      <c r="V111" s="15"/>
      <c r="W111" s="15"/>
      <c r="X111" s="15"/>
      <c r="Y111" s="15"/>
      <c r="Z111" s="15"/>
      <c r="AA111" s="15"/>
      <c r="AB111" s="15"/>
      <c r="AC111" s="15"/>
      <c r="AD111" s="16"/>
    </row>
    <row r="112" spans="1:30" ht="12.75" customHeight="1">
      <c r="A112" s="110" t="s">
        <v>207</v>
      </c>
      <c r="B112" s="12" t="s">
        <v>214</v>
      </c>
      <c r="C112" s="12" t="s">
        <v>215</v>
      </c>
      <c r="D112" s="12" t="s">
        <v>42</v>
      </c>
      <c r="E112" s="13">
        <v>20000</v>
      </c>
      <c r="F112" s="13">
        <v>0</v>
      </c>
      <c r="G112" s="13">
        <v>18200</v>
      </c>
      <c r="H112" s="108">
        <f t="shared" si="12"/>
        <v>1800</v>
      </c>
      <c r="I112" s="13"/>
      <c r="J112" s="13"/>
      <c r="K112" s="13"/>
      <c r="L112" s="8"/>
      <c r="M112" s="8"/>
      <c r="N112" s="31"/>
      <c r="O112" s="13"/>
      <c r="P112" s="13"/>
      <c r="Q112" s="13">
        <v>0.8</v>
      </c>
      <c r="R112" s="13">
        <f t="shared" si="17"/>
        <v>1440</v>
      </c>
      <c r="S112" s="105" t="s">
        <v>525</v>
      </c>
      <c r="T112" s="9">
        <v>5000</v>
      </c>
      <c r="U112" s="15" t="str">
        <f t="shared" si="13"/>
        <v>Y</v>
      </c>
      <c r="V112" s="15"/>
      <c r="W112" s="15"/>
      <c r="X112" s="15"/>
      <c r="Y112" s="15"/>
      <c r="Z112" s="15"/>
      <c r="AA112" s="15"/>
      <c r="AB112" s="15"/>
      <c r="AC112" s="15"/>
      <c r="AD112" s="16"/>
    </row>
    <row r="113" spans="1:30" ht="12.75" customHeight="1">
      <c r="A113" s="110" t="s">
        <v>207</v>
      </c>
      <c r="B113" s="12" t="s">
        <v>214</v>
      </c>
      <c r="C113" s="6" t="s">
        <v>215</v>
      </c>
      <c r="D113" s="12" t="s">
        <v>209</v>
      </c>
      <c r="E113" s="13">
        <v>15000</v>
      </c>
      <c r="F113" s="13">
        <v>40000</v>
      </c>
      <c r="G113" s="13">
        <v>30000</v>
      </c>
      <c r="H113" s="108">
        <f t="shared" si="12"/>
        <v>25000</v>
      </c>
      <c r="I113" s="13">
        <v>0</v>
      </c>
      <c r="J113" s="13">
        <v>5000</v>
      </c>
      <c r="K113" s="13">
        <f t="shared" si="23"/>
        <v>20000</v>
      </c>
      <c r="L113" s="13">
        <v>0.09</v>
      </c>
      <c r="M113" s="13">
        <f>K113*L113</f>
        <v>1800</v>
      </c>
      <c r="N113" s="32"/>
      <c r="O113" s="13">
        <v>0.09</v>
      </c>
      <c r="P113" s="13">
        <f t="shared" si="24"/>
        <v>1800</v>
      </c>
      <c r="Q113" s="13">
        <v>0.12</v>
      </c>
      <c r="R113" s="13">
        <f t="shared" si="17"/>
        <v>3000</v>
      </c>
      <c r="S113" s="8"/>
      <c r="T113" s="9">
        <v>5000</v>
      </c>
      <c r="U113" s="15" t="str">
        <f t="shared" si="13"/>
        <v/>
      </c>
      <c r="V113" s="15"/>
      <c r="W113" s="15"/>
      <c r="X113" s="15"/>
      <c r="Y113" s="15"/>
      <c r="Z113" s="15"/>
      <c r="AA113" s="15"/>
      <c r="AB113" s="15"/>
      <c r="AC113" s="15"/>
      <c r="AD113" s="16"/>
    </row>
    <row r="114" spans="1:30" ht="12.75" customHeight="1">
      <c r="A114" s="110" t="s">
        <v>207</v>
      </c>
      <c r="B114" s="6" t="s">
        <v>216</v>
      </c>
      <c r="C114" s="6" t="s">
        <v>216</v>
      </c>
      <c r="D114" s="12" t="s">
        <v>209</v>
      </c>
      <c r="E114" s="13">
        <v>60000</v>
      </c>
      <c r="F114" s="13">
        <v>0</v>
      </c>
      <c r="G114" s="13">
        <v>5000</v>
      </c>
      <c r="H114" s="108">
        <f t="shared" si="12"/>
        <v>55000</v>
      </c>
      <c r="I114" s="13">
        <v>20000</v>
      </c>
      <c r="J114" s="13">
        <v>25000</v>
      </c>
      <c r="K114" s="13">
        <f t="shared" si="23"/>
        <v>50000</v>
      </c>
      <c r="L114" s="13">
        <v>0.08</v>
      </c>
      <c r="M114" s="13">
        <f>K114*L114</f>
        <v>4000</v>
      </c>
      <c r="N114" s="18"/>
      <c r="O114" s="13">
        <v>0.08</v>
      </c>
      <c r="P114" s="13">
        <f t="shared" si="24"/>
        <v>4000</v>
      </c>
      <c r="Q114" s="13">
        <v>0.1</v>
      </c>
      <c r="R114" s="13">
        <f t="shared" si="17"/>
        <v>5500</v>
      </c>
      <c r="S114" s="8"/>
      <c r="T114" s="9">
        <v>5000</v>
      </c>
      <c r="U114" s="15" t="str">
        <f t="shared" si="13"/>
        <v/>
      </c>
      <c r="V114" s="15"/>
      <c r="W114" s="15"/>
      <c r="X114" s="15"/>
      <c r="Y114" s="15"/>
      <c r="Z114" s="15"/>
      <c r="AA114" s="15"/>
      <c r="AB114" s="15"/>
      <c r="AC114" s="15"/>
      <c r="AD114" s="16"/>
    </row>
    <row r="115" spans="1:30" ht="12.75" customHeight="1">
      <c r="A115" s="110" t="s">
        <v>207</v>
      </c>
      <c r="B115" s="6" t="s">
        <v>216</v>
      </c>
      <c r="C115" s="6" t="s">
        <v>216</v>
      </c>
      <c r="D115" s="12" t="s">
        <v>42</v>
      </c>
      <c r="E115" s="13">
        <v>5000</v>
      </c>
      <c r="F115" s="13">
        <v>0</v>
      </c>
      <c r="G115" s="13">
        <v>0</v>
      </c>
      <c r="H115" s="108">
        <f t="shared" si="12"/>
        <v>5000</v>
      </c>
      <c r="I115" s="13">
        <v>5000</v>
      </c>
      <c r="J115" s="13">
        <v>0</v>
      </c>
      <c r="K115" s="13">
        <f t="shared" si="23"/>
        <v>10000</v>
      </c>
      <c r="L115" s="8"/>
      <c r="M115" s="8"/>
      <c r="N115" s="18"/>
      <c r="O115" s="13">
        <v>4.4999999999999998E-2</v>
      </c>
      <c r="P115" s="13">
        <f t="shared" si="24"/>
        <v>450</v>
      </c>
      <c r="Q115" s="13">
        <v>4.4999999999999998E-2</v>
      </c>
      <c r="R115" s="13">
        <f t="shared" si="17"/>
        <v>225</v>
      </c>
      <c r="S115" s="8"/>
      <c r="T115" s="9">
        <v>5000</v>
      </c>
      <c r="U115" s="15" t="str">
        <f t="shared" si="13"/>
        <v/>
      </c>
      <c r="V115" s="15"/>
      <c r="W115" s="15"/>
      <c r="X115" s="15"/>
      <c r="Y115" s="15"/>
      <c r="Z115" s="15"/>
      <c r="AA115" s="15"/>
      <c r="AB115" s="15"/>
      <c r="AC115" s="15"/>
      <c r="AD115" s="16"/>
    </row>
    <row r="116" spans="1:30" ht="12.75" customHeight="1">
      <c r="A116" s="110" t="s">
        <v>207</v>
      </c>
      <c r="B116" s="6" t="s">
        <v>217</v>
      </c>
      <c r="C116" s="6" t="s">
        <v>217</v>
      </c>
      <c r="D116" s="12" t="s">
        <v>209</v>
      </c>
      <c r="E116" s="13">
        <v>35000</v>
      </c>
      <c r="F116" s="13">
        <v>35000</v>
      </c>
      <c r="G116" s="13">
        <v>25000</v>
      </c>
      <c r="H116" s="108">
        <f t="shared" si="12"/>
        <v>45000</v>
      </c>
      <c r="I116" s="13">
        <v>0</v>
      </c>
      <c r="J116" s="13">
        <v>0</v>
      </c>
      <c r="K116" s="13">
        <f t="shared" si="23"/>
        <v>45000</v>
      </c>
      <c r="L116" s="13">
        <v>0.09</v>
      </c>
      <c r="M116" s="13">
        <f>K116*L116</f>
        <v>4050</v>
      </c>
      <c r="N116" s="18"/>
      <c r="O116" s="13">
        <v>0.09</v>
      </c>
      <c r="P116" s="13">
        <f t="shared" si="24"/>
        <v>4050</v>
      </c>
      <c r="Q116" s="13">
        <v>7.4999999999999997E-2</v>
      </c>
      <c r="R116" s="13">
        <f t="shared" si="17"/>
        <v>3375</v>
      </c>
      <c r="S116" s="8"/>
      <c r="T116" s="9">
        <v>5000</v>
      </c>
      <c r="U116" s="15" t="str">
        <f t="shared" si="13"/>
        <v/>
      </c>
      <c r="V116" s="15"/>
      <c r="W116" s="15"/>
      <c r="X116" s="106"/>
      <c r="Y116" s="15"/>
      <c r="Z116" s="15"/>
      <c r="AA116" s="15"/>
      <c r="AB116" s="15"/>
      <c r="AC116" s="15"/>
      <c r="AD116" s="16"/>
    </row>
    <row r="117" spans="1:30" ht="12.75" customHeight="1">
      <c r="A117" s="110" t="s">
        <v>207</v>
      </c>
      <c r="B117" s="6" t="s">
        <v>217</v>
      </c>
      <c r="C117" s="6" t="s">
        <v>217</v>
      </c>
      <c r="D117" s="12" t="s">
        <v>42</v>
      </c>
      <c r="E117" s="13">
        <v>65000</v>
      </c>
      <c r="F117" s="13">
        <v>0</v>
      </c>
      <c r="G117" s="13">
        <v>21600</v>
      </c>
      <c r="H117" s="108">
        <f t="shared" si="12"/>
        <v>43400</v>
      </c>
      <c r="I117" s="13">
        <v>120000</v>
      </c>
      <c r="J117" s="8"/>
      <c r="K117" s="13">
        <f t="shared" si="23"/>
        <v>163400</v>
      </c>
      <c r="L117" s="8"/>
      <c r="M117" s="8"/>
      <c r="N117" s="18"/>
      <c r="O117" s="13">
        <v>4.4999999999999998E-2</v>
      </c>
      <c r="P117" s="13">
        <f t="shared" si="24"/>
        <v>7353</v>
      </c>
      <c r="Q117" s="13">
        <v>4.4999999999999998E-2</v>
      </c>
      <c r="R117" s="13">
        <f t="shared" si="17"/>
        <v>1953</v>
      </c>
      <c r="S117" s="105" t="s">
        <v>525</v>
      </c>
      <c r="T117" s="9">
        <v>5000</v>
      </c>
      <c r="U117" s="15" t="str">
        <f t="shared" si="13"/>
        <v/>
      </c>
      <c r="V117" s="15"/>
      <c r="W117" s="15"/>
      <c r="X117" s="15"/>
      <c r="Y117" s="15"/>
      <c r="Z117" s="15"/>
      <c r="AA117" s="15"/>
      <c r="AB117" s="15"/>
      <c r="AC117" s="15"/>
      <c r="AD117" s="16"/>
    </row>
    <row r="118" spans="1:30" ht="12.75" customHeight="1">
      <c r="A118" s="110" t="s">
        <v>207</v>
      </c>
      <c r="B118" s="6" t="s">
        <v>219</v>
      </c>
      <c r="C118" s="6" t="s">
        <v>219</v>
      </c>
      <c r="D118" s="12" t="s">
        <v>209</v>
      </c>
      <c r="E118" s="13">
        <v>5000</v>
      </c>
      <c r="F118" s="13">
        <v>5000</v>
      </c>
      <c r="G118" s="13">
        <v>500</v>
      </c>
      <c r="H118" s="108">
        <f t="shared" si="12"/>
        <v>9500</v>
      </c>
      <c r="I118" s="13"/>
      <c r="J118" s="8"/>
      <c r="K118" s="13"/>
      <c r="L118" s="8"/>
      <c r="M118" s="8"/>
      <c r="N118" s="18"/>
      <c r="O118" s="13"/>
      <c r="P118" s="13"/>
      <c r="Q118" s="13">
        <v>0.08</v>
      </c>
      <c r="R118" s="13">
        <f t="shared" si="17"/>
        <v>760</v>
      </c>
      <c r="S118" s="8"/>
      <c r="T118" s="9">
        <v>5000</v>
      </c>
      <c r="U118" s="15" t="str">
        <f t="shared" si="13"/>
        <v/>
      </c>
      <c r="V118" s="15"/>
      <c r="W118" s="15"/>
      <c r="X118" s="15"/>
      <c r="Y118" s="15"/>
      <c r="Z118" s="15"/>
      <c r="AA118" s="15"/>
      <c r="AB118" s="15"/>
      <c r="AC118" s="15"/>
      <c r="AD118" s="16"/>
    </row>
    <row r="119" spans="1:30" ht="12.75" customHeight="1">
      <c r="A119" s="110" t="s">
        <v>207</v>
      </c>
      <c r="B119" s="6" t="s">
        <v>219</v>
      </c>
      <c r="C119" s="6" t="s">
        <v>219</v>
      </c>
      <c r="D119" s="12" t="s">
        <v>42</v>
      </c>
      <c r="E119" s="13">
        <v>2500</v>
      </c>
      <c r="F119" s="13">
        <v>0</v>
      </c>
      <c r="G119" s="13">
        <v>1000</v>
      </c>
      <c r="H119" s="108">
        <f t="shared" si="12"/>
        <v>1500</v>
      </c>
      <c r="I119" s="13">
        <v>0</v>
      </c>
      <c r="J119" s="13">
        <v>0</v>
      </c>
      <c r="K119" s="13">
        <f t="shared" si="23"/>
        <v>1500</v>
      </c>
      <c r="L119" s="13">
        <v>0.09</v>
      </c>
      <c r="M119" s="13">
        <f t="shared" ref="M119:M129" si="25">K119*L119</f>
        <v>135</v>
      </c>
      <c r="N119" s="18"/>
      <c r="O119" s="13">
        <v>0.09</v>
      </c>
      <c r="P119" s="13">
        <f t="shared" si="24"/>
        <v>135</v>
      </c>
      <c r="Q119" s="13">
        <v>0.09</v>
      </c>
      <c r="R119" s="13">
        <f t="shared" si="17"/>
        <v>135</v>
      </c>
      <c r="S119" s="105" t="s">
        <v>525</v>
      </c>
      <c r="T119" s="9">
        <v>0</v>
      </c>
      <c r="U119" s="15" t="str">
        <f t="shared" si="13"/>
        <v/>
      </c>
      <c r="V119" s="15"/>
      <c r="W119" s="15"/>
      <c r="X119" s="15"/>
      <c r="Y119" s="15"/>
      <c r="Z119" s="15"/>
      <c r="AA119" s="15"/>
      <c r="AB119" s="15"/>
      <c r="AC119" s="15"/>
      <c r="AD119" s="16"/>
    </row>
    <row r="120" spans="1:30" ht="12.75" customHeight="1">
      <c r="A120" s="110" t="s">
        <v>207</v>
      </c>
      <c r="B120" s="6" t="s">
        <v>220</v>
      </c>
      <c r="C120" s="6" t="s">
        <v>220</v>
      </c>
      <c r="D120" s="12" t="s">
        <v>221</v>
      </c>
      <c r="E120" s="13">
        <v>5000</v>
      </c>
      <c r="F120" s="13">
        <v>0</v>
      </c>
      <c r="G120" s="13">
        <v>0</v>
      </c>
      <c r="H120" s="108">
        <f t="shared" si="12"/>
        <v>5000</v>
      </c>
      <c r="I120" s="13">
        <v>0</v>
      </c>
      <c r="J120" s="13">
        <v>0</v>
      </c>
      <c r="K120" s="13">
        <f t="shared" si="23"/>
        <v>5000</v>
      </c>
      <c r="L120" s="13">
        <v>0.09</v>
      </c>
      <c r="M120" s="13">
        <f t="shared" si="25"/>
        <v>450</v>
      </c>
      <c r="N120" s="8"/>
      <c r="O120" s="13">
        <v>0.09</v>
      </c>
      <c r="P120" s="13">
        <f t="shared" si="24"/>
        <v>450</v>
      </c>
      <c r="Q120" s="13">
        <v>0.08</v>
      </c>
      <c r="R120" s="13">
        <f t="shared" si="17"/>
        <v>400</v>
      </c>
      <c r="S120" s="104"/>
      <c r="T120" s="9">
        <v>1000</v>
      </c>
      <c r="U120" s="15" t="str">
        <f t="shared" si="13"/>
        <v/>
      </c>
      <c r="V120" s="15"/>
      <c r="W120" s="15"/>
      <c r="X120" s="15"/>
      <c r="Y120" s="15"/>
      <c r="Z120" s="15"/>
      <c r="AA120" s="15"/>
      <c r="AB120" s="15"/>
      <c r="AC120" s="15"/>
      <c r="AD120" s="16"/>
    </row>
    <row r="121" spans="1:30" ht="12.75" customHeight="1">
      <c r="A121" s="110" t="s">
        <v>207</v>
      </c>
      <c r="B121" s="6" t="s">
        <v>222</v>
      </c>
      <c r="C121" s="6" t="s">
        <v>222</v>
      </c>
      <c r="D121" s="12" t="s">
        <v>223</v>
      </c>
      <c r="E121" s="13">
        <v>8000</v>
      </c>
      <c r="F121" s="13">
        <v>0</v>
      </c>
      <c r="G121" s="13">
        <v>500</v>
      </c>
      <c r="H121" s="108">
        <f t="shared" si="12"/>
        <v>7500</v>
      </c>
      <c r="I121" s="13">
        <v>0</v>
      </c>
      <c r="J121" s="13">
        <v>2000</v>
      </c>
      <c r="K121" s="13">
        <f t="shared" si="23"/>
        <v>5500</v>
      </c>
      <c r="L121" s="13">
        <v>0.09</v>
      </c>
      <c r="M121" s="13">
        <f t="shared" si="25"/>
        <v>495</v>
      </c>
      <c r="N121" s="33"/>
      <c r="O121" s="13">
        <v>0.09</v>
      </c>
      <c r="P121" s="13">
        <f t="shared" si="24"/>
        <v>495</v>
      </c>
      <c r="Q121" s="13">
        <v>0.3</v>
      </c>
      <c r="R121" s="13">
        <f t="shared" si="17"/>
        <v>2250</v>
      </c>
      <c r="S121" s="8"/>
      <c r="T121" s="9">
        <v>1000</v>
      </c>
      <c r="U121" s="15" t="str">
        <f t="shared" si="13"/>
        <v/>
      </c>
      <c r="V121" s="15"/>
      <c r="W121" s="15"/>
      <c r="X121" s="15"/>
      <c r="Y121" s="15"/>
      <c r="Z121" s="15"/>
      <c r="AA121" s="15"/>
      <c r="AB121" s="15"/>
      <c r="AC121" s="15"/>
      <c r="AD121" s="16"/>
    </row>
    <row r="122" spans="1:30" ht="12.75" customHeight="1">
      <c r="A122" s="110" t="s">
        <v>207</v>
      </c>
      <c r="B122" s="12" t="s">
        <v>224</v>
      </c>
      <c r="C122" s="6" t="s">
        <v>224</v>
      </c>
      <c r="D122" s="12" t="s">
        <v>221</v>
      </c>
      <c r="E122" s="13">
        <v>10000</v>
      </c>
      <c r="F122" s="13">
        <v>0</v>
      </c>
      <c r="G122" s="13">
        <v>0</v>
      </c>
      <c r="H122" s="108">
        <f t="shared" si="12"/>
        <v>10000</v>
      </c>
      <c r="I122" s="13">
        <v>0</v>
      </c>
      <c r="J122" s="13">
        <v>0</v>
      </c>
      <c r="K122" s="13">
        <f t="shared" si="23"/>
        <v>10000</v>
      </c>
      <c r="L122" s="13">
        <v>0.09</v>
      </c>
      <c r="M122" s="13">
        <f t="shared" si="25"/>
        <v>900</v>
      </c>
      <c r="N122" s="18"/>
      <c r="O122" s="13">
        <v>0.09</v>
      </c>
      <c r="P122" s="13">
        <f t="shared" si="24"/>
        <v>900</v>
      </c>
      <c r="Q122" s="13">
        <v>7.4999999999999997E-2</v>
      </c>
      <c r="R122" s="13">
        <f t="shared" si="17"/>
        <v>750</v>
      </c>
      <c r="S122" s="8"/>
      <c r="T122" s="9">
        <v>1000</v>
      </c>
      <c r="U122" s="15" t="str">
        <f t="shared" si="13"/>
        <v/>
      </c>
      <c r="V122" s="15"/>
      <c r="W122" s="15"/>
      <c r="X122" s="15"/>
      <c r="Y122" s="15"/>
      <c r="Z122" s="15"/>
      <c r="AA122" s="15"/>
      <c r="AB122" s="15"/>
      <c r="AC122" s="15"/>
      <c r="AD122" s="16"/>
    </row>
    <row r="123" spans="1:30" ht="12.75" customHeight="1">
      <c r="A123" s="110" t="s">
        <v>207</v>
      </c>
      <c r="B123" s="6" t="s">
        <v>225</v>
      </c>
      <c r="C123" s="6" t="s">
        <v>226</v>
      </c>
      <c r="D123" s="12" t="s">
        <v>221</v>
      </c>
      <c r="E123" s="13">
        <v>5000</v>
      </c>
      <c r="F123" s="13">
        <v>0</v>
      </c>
      <c r="G123" s="13">
        <v>0</v>
      </c>
      <c r="H123" s="108">
        <f t="shared" si="12"/>
        <v>5000</v>
      </c>
      <c r="I123" s="13">
        <v>0</v>
      </c>
      <c r="J123" s="13">
        <v>0</v>
      </c>
      <c r="K123" s="13">
        <f t="shared" si="23"/>
        <v>5000</v>
      </c>
      <c r="L123" s="13">
        <v>0.09</v>
      </c>
      <c r="M123" s="13">
        <f t="shared" si="25"/>
        <v>450</v>
      </c>
      <c r="N123" s="8"/>
      <c r="O123" s="13">
        <v>0.09</v>
      </c>
      <c r="P123" s="13">
        <f t="shared" si="24"/>
        <v>450</v>
      </c>
      <c r="Q123" s="13">
        <v>0.09</v>
      </c>
      <c r="R123" s="13">
        <f t="shared" si="17"/>
        <v>450</v>
      </c>
      <c r="S123" s="8"/>
      <c r="T123" s="9">
        <v>1000</v>
      </c>
      <c r="U123" s="15" t="str">
        <f t="shared" si="13"/>
        <v/>
      </c>
      <c r="V123" s="15"/>
      <c r="W123" s="15"/>
      <c r="X123" s="15"/>
      <c r="Y123" s="15"/>
      <c r="Z123" s="15"/>
      <c r="AA123" s="15"/>
      <c r="AB123" s="15"/>
      <c r="AC123" s="15"/>
      <c r="AD123" s="16"/>
    </row>
    <row r="124" spans="1:30" ht="12.75" customHeight="1">
      <c r="A124" s="110" t="s">
        <v>207</v>
      </c>
      <c r="B124" s="6" t="s">
        <v>227</v>
      </c>
      <c r="C124" s="6" t="s">
        <v>227</v>
      </c>
      <c r="D124" s="12" t="s">
        <v>221</v>
      </c>
      <c r="E124" s="13">
        <v>5000</v>
      </c>
      <c r="F124" s="13">
        <v>0</v>
      </c>
      <c r="G124" s="13">
        <v>0</v>
      </c>
      <c r="H124" s="108">
        <f t="shared" si="12"/>
        <v>5000</v>
      </c>
      <c r="I124" s="13">
        <v>0</v>
      </c>
      <c r="J124" s="13">
        <v>500</v>
      </c>
      <c r="K124" s="13">
        <f t="shared" si="23"/>
        <v>4500</v>
      </c>
      <c r="L124" s="13">
        <v>0.09</v>
      </c>
      <c r="M124" s="13">
        <f t="shared" si="25"/>
        <v>405</v>
      </c>
      <c r="N124" s="6" t="s">
        <v>228</v>
      </c>
      <c r="O124" s="13">
        <v>0.09</v>
      </c>
      <c r="P124" s="13">
        <f t="shared" si="24"/>
        <v>405</v>
      </c>
      <c r="Q124" s="13">
        <v>0.08</v>
      </c>
      <c r="R124" s="13">
        <f t="shared" si="17"/>
        <v>400</v>
      </c>
      <c r="S124" s="8"/>
      <c r="T124" s="9">
        <v>1000</v>
      </c>
      <c r="U124" s="15" t="str">
        <f t="shared" si="13"/>
        <v/>
      </c>
      <c r="V124" s="15"/>
      <c r="W124" s="15"/>
      <c r="X124" s="15"/>
      <c r="Y124" s="15"/>
      <c r="Z124" s="15"/>
      <c r="AA124" s="15"/>
      <c r="AB124" s="15"/>
      <c r="AC124" s="15"/>
      <c r="AD124" s="16"/>
    </row>
    <row r="125" spans="1:30" ht="12.75" customHeight="1">
      <c r="A125" s="110" t="s">
        <v>207</v>
      </c>
      <c r="B125" s="6" t="s">
        <v>229</v>
      </c>
      <c r="C125" s="6" t="s">
        <v>229</v>
      </c>
      <c r="D125" s="12" t="s">
        <v>221</v>
      </c>
      <c r="E125" s="13">
        <v>0</v>
      </c>
      <c r="F125" s="13">
        <v>0</v>
      </c>
      <c r="G125" s="13">
        <v>0</v>
      </c>
      <c r="H125" s="108">
        <f t="shared" si="12"/>
        <v>0</v>
      </c>
      <c r="I125" s="13">
        <v>0</v>
      </c>
      <c r="J125" s="13">
        <v>0</v>
      </c>
      <c r="K125" s="13">
        <f t="shared" si="23"/>
        <v>0</v>
      </c>
      <c r="L125" s="13">
        <v>0.09</v>
      </c>
      <c r="M125" s="13">
        <f t="shared" si="25"/>
        <v>0</v>
      </c>
      <c r="N125" s="8"/>
      <c r="O125" s="13">
        <v>0.09</v>
      </c>
      <c r="P125" s="13">
        <f t="shared" si="24"/>
        <v>0</v>
      </c>
      <c r="Q125" s="13">
        <v>0.09</v>
      </c>
      <c r="R125" s="13">
        <f t="shared" si="17"/>
        <v>0</v>
      </c>
      <c r="S125" s="8"/>
      <c r="T125" s="9">
        <v>0</v>
      </c>
      <c r="U125" s="15" t="str">
        <f t="shared" si="13"/>
        <v/>
      </c>
      <c r="V125" s="15"/>
      <c r="W125" s="15"/>
      <c r="X125" s="15"/>
      <c r="Y125" s="15"/>
      <c r="Z125" s="15"/>
      <c r="AA125" s="15"/>
      <c r="AB125" s="15"/>
      <c r="AC125" s="15"/>
      <c r="AD125" s="16"/>
    </row>
    <row r="126" spans="1:30" ht="12.75" customHeight="1">
      <c r="A126" s="110" t="s">
        <v>207</v>
      </c>
      <c r="B126" s="6" t="s">
        <v>471</v>
      </c>
      <c r="C126" s="6" t="s">
        <v>482</v>
      </c>
      <c r="D126" s="12" t="s">
        <v>485</v>
      </c>
      <c r="E126" s="13">
        <v>500</v>
      </c>
      <c r="F126" s="13">
        <v>0</v>
      </c>
      <c r="G126" s="13">
        <v>500</v>
      </c>
      <c r="H126" s="108">
        <f t="shared" si="12"/>
        <v>0</v>
      </c>
      <c r="I126" s="13"/>
      <c r="J126" s="13"/>
      <c r="K126" s="13"/>
      <c r="L126" s="13"/>
      <c r="M126" s="13"/>
      <c r="N126" s="8"/>
      <c r="O126" s="13"/>
      <c r="P126" s="13"/>
      <c r="Q126" s="13">
        <v>0.16</v>
      </c>
      <c r="R126" s="13">
        <f t="shared" si="17"/>
        <v>0</v>
      </c>
      <c r="S126" s="8"/>
      <c r="T126" s="9">
        <v>1000</v>
      </c>
      <c r="U126" s="15" t="str">
        <f t="shared" si="13"/>
        <v>Y</v>
      </c>
      <c r="V126" s="15"/>
      <c r="W126" s="15"/>
      <c r="X126" s="15"/>
      <c r="Y126" s="15"/>
      <c r="Z126" s="15"/>
      <c r="AA126" s="15"/>
      <c r="AB126" s="15"/>
      <c r="AC126" s="15"/>
      <c r="AD126" s="16"/>
    </row>
    <row r="127" spans="1:30" ht="12.75" customHeight="1">
      <c r="A127" s="110" t="s">
        <v>207</v>
      </c>
      <c r="B127" s="12" t="s">
        <v>230</v>
      </c>
      <c r="C127" s="12" t="s">
        <v>230</v>
      </c>
      <c r="D127" s="12" t="s">
        <v>221</v>
      </c>
      <c r="E127" s="13">
        <v>10000</v>
      </c>
      <c r="F127" s="13">
        <v>20000</v>
      </c>
      <c r="G127" s="13">
        <v>5000</v>
      </c>
      <c r="H127" s="108">
        <f t="shared" si="12"/>
        <v>25000</v>
      </c>
      <c r="I127" s="13">
        <v>0</v>
      </c>
      <c r="J127" s="13">
        <v>110000</v>
      </c>
      <c r="K127" s="13">
        <f t="shared" si="23"/>
        <v>-85000</v>
      </c>
      <c r="L127" s="13">
        <v>0.08</v>
      </c>
      <c r="M127" s="13">
        <f t="shared" si="25"/>
        <v>-6800</v>
      </c>
      <c r="N127" s="8"/>
      <c r="O127" s="13">
        <v>0.08</v>
      </c>
      <c r="P127" s="13">
        <f t="shared" si="24"/>
        <v>-6800</v>
      </c>
      <c r="Q127" s="13">
        <v>0.08</v>
      </c>
      <c r="R127" s="13">
        <f t="shared" si="17"/>
        <v>2000</v>
      </c>
      <c r="S127" s="8"/>
      <c r="T127" s="9">
        <v>5000</v>
      </c>
      <c r="U127" s="15" t="str">
        <f t="shared" si="13"/>
        <v/>
      </c>
      <c r="V127" s="15"/>
      <c r="W127" s="15"/>
      <c r="X127" s="15"/>
      <c r="Y127" s="15"/>
      <c r="Z127" s="15"/>
      <c r="AA127" s="15"/>
      <c r="AB127" s="15"/>
      <c r="AC127" s="15"/>
      <c r="AD127" s="16"/>
    </row>
    <row r="128" spans="1:30" ht="12.75" customHeight="1">
      <c r="A128" s="110" t="s">
        <v>207</v>
      </c>
      <c r="B128" s="6" t="s">
        <v>210</v>
      </c>
      <c r="C128" s="6" t="s">
        <v>210</v>
      </c>
      <c r="D128" s="12" t="s">
        <v>223</v>
      </c>
      <c r="E128" s="13">
        <v>5000</v>
      </c>
      <c r="F128" s="13">
        <v>0</v>
      </c>
      <c r="G128" s="13">
        <v>0</v>
      </c>
      <c r="H128" s="108">
        <f t="shared" si="12"/>
        <v>5000</v>
      </c>
      <c r="I128" s="13">
        <v>0</v>
      </c>
      <c r="J128" s="13">
        <v>0</v>
      </c>
      <c r="K128" s="13">
        <f t="shared" si="23"/>
        <v>5000</v>
      </c>
      <c r="L128" s="13">
        <v>0.25</v>
      </c>
      <c r="M128" s="13">
        <f t="shared" si="25"/>
        <v>1250</v>
      </c>
      <c r="N128" s="8"/>
      <c r="O128" s="13">
        <v>0.25</v>
      </c>
      <c r="P128" s="13">
        <f t="shared" si="24"/>
        <v>1250</v>
      </c>
      <c r="Q128" s="13">
        <v>0.09</v>
      </c>
      <c r="R128" s="13">
        <f t="shared" si="17"/>
        <v>450</v>
      </c>
      <c r="S128" s="8"/>
      <c r="T128" s="9">
        <v>0</v>
      </c>
      <c r="U128" s="15" t="str">
        <f t="shared" si="13"/>
        <v/>
      </c>
      <c r="V128" s="15"/>
      <c r="W128" s="15"/>
      <c r="X128" s="15"/>
      <c r="Y128" s="15"/>
      <c r="Z128" s="15"/>
      <c r="AA128" s="15"/>
      <c r="AB128" s="15"/>
      <c r="AC128" s="15"/>
      <c r="AD128" s="16"/>
    </row>
    <row r="129" spans="1:30" ht="12.75" customHeight="1">
      <c r="A129" s="110" t="s">
        <v>231</v>
      </c>
      <c r="B129" s="6" t="s">
        <v>232</v>
      </c>
      <c r="C129" s="6" t="s">
        <v>522</v>
      </c>
      <c r="D129" s="8"/>
      <c r="E129" s="13">
        <v>9800</v>
      </c>
      <c r="F129" s="13">
        <v>0</v>
      </c>
      <c r="G129" s="13">
        <v>0</v>
      </c>
      <c r="H129" s="108">
        <f t="shared" si="12"/>
        <v>9800</v>
      </c>
      <c r="I129" s="13">
        <v>0</v>
      </c>
      <c r="J129" s="13">
        <v>0</v>
      </c>
      <c r="K129" s="13">
        <f t="shared" si="23"/>
        <v>9800</v>
      </c>
      <c r="L129" s="13">
        <v>1.65</v>
      </c>
      <c r="M129" s="13">
        <f t="shared" si="25"/>
        <v>16170</v>
      </c>
      <c r="N129" s="8"/>
      <c r="O129" s="13">
        <v>0.16</v>
      </c>
      <c r="P129" s="13">
        <f t="shared" si="24"/>
        <v>1568</v>
      </c>
      <c r="Q129" s="13">
        <v>12</v>
      </c>
      <c r="R129" s="13">
        <f t="shared" si="17"/>
        <v>117600</v>
      </c>
      <c r="S129" s="8" t="s">
        <v>518</v>
      </c>
      <c r="T129" s="9">
        <v>5000</v>
      </c>
      <c r="U129" s="15" t="str">
        <f t="shared" si="13"/>
        <v/>
      </c>
      <c r="V129" s="15"/>
      <c r="W129" s="15"/>
      <c r="X129" s="15"/>
      <c r="Y129" s="15"/>
      <c r="Z129" s="15"/>
      <c r="AA129" s="15"/>
      <c r="AB129" s="15"/>
      <c r="AC129" s="15"/>
      <c r="AD129" s="16"/>
    </row>
    <row r="130" spans="1:30" ht="12.75" customHeight="1">
      <c r="A130" s="110" t="s">
        <v>231</v>
      </c>
      <c r="B130" s="6" t="s">
        <v>233</v>
      </c>
      <c r="C130" s="6" t="s">
        <v>234</v>
      </c>
      <c r="D130" s="6" t="s">
        <v>235</v>
      </c>
      <c r="E130" s="13">
        <v>1000</v>
      </c>
      <c r="F130" s="13">
        <v>0</v>
      </c>
      <c r="G130" s="13">
        <v>0</v>
      </c>
      <c r="H130" s="108">
        <f t="shared" si="12"/>
        <v>1000</v>
      </c>
      <c r="I130" s="8"/>
      <c r="J130" s="8"/>
      <c r="K130" s="8"/>
      <c r="L130" s="8"/>
      <c r="M130" s="8"/>
      <c r="N130" s="8"/>
      <c r="O130" s="8"/>
      <c r="P130" s="8"/>
      <c r="Q130" s="13">
        <v>0.3</v>
      </c>
      <c r="R130" s="13">
        <f t="shared" si="17"/>
        <v>300</v>
      </c>
      <c r="S130" s="8"/>
      <c r="T130" s="9">
        <v>5000</v>
      </c>
      <c r="U130" s="15" t="str">
        <f t="shared" si="13"/>
        <v>Y</v>
      </c>
      <c r="V130" s="15" t="s">
        <v>459</v>
      </c>
      <c r="W130" s="15"/>
      <c r="X130" s="15"/>
      <c r="Y130" s="15"/>
      <c r="Z130" s="15"/>
      <c r="AA130" s="15"/>
      <c r="AB130" s="15"/>
      <c r="AC130" s="15"/>
      <c r="AD130" s="16"/>
    </row>
    <row r="131" spans="1:30" ht="12.75" customHeight="1">
      <c r="A131" s="110" t="s">
        <v>231</v>
      </c>
      <c r="B131" s="6" t="s">
        <v>232</v>
      </c>
      <c r="C131" s="6" t="s">
        <v>236</v>
      </c>
      <c r="D131" s="18" t="s">
        <v>452</v>
      </c>
      <c r="E131" s="13">
        <v>20000</v>
      </c>
      <c r="F131" s="13">
        <v>0</v>
      </c>
      <c r="G131" s="13">
        <v>5000</v>
      </c>
      <c r="H131" s="108">
        <f t="shared" si="12"/>
        <v>15000</v>
      </c>
      <c r="I131" s="13">
        <v>20000</v>
      </c>
      <c r="J131" s="13">
        <v>11000</v>
      </c>
      <c r="K131" s="13">
        <f t="shared" ref="K131:K138" si="26">H131+I131-J131</f>
        <v>24000</v>
      </c>
      <c r="L131" s="13">
        <v>0.15</v>
      </c>
      <c r="M131" s="13">
        <f t="shared" ref="M131:M138" si="27">K131*L131</f>
        <v>3600</v>
      </c>
      <c r="N131" s="8"/>
      <c r="O131" s="13">
        <v>18</v>
      </c>
      <c r="P131" s="13">
        <f t="shared" ref="P131:P138" si="28">K131*O131</f>
        <v>432000</v>
      </c>
      <c r="Q131" s="13">
        <v>0.15</v>
      </c>
      <c r="R131" s="13">
        <f t="shared" si="17"/>
        <v>2250</v>
      </c>
      <c r="S131" s="8"/>
      <c r="T131" s="9">
        <v>5000</v>
      </c>
      <c r="U131" s="15" t="str">
        <f t="shared" si="13"/>
        <v/>
      </c>
      <c r="V131" s="15"/>
      <c r="W131" s="15"/>
      <c r="X131" s="15"/>
      <c r="Y131" s="15" t="s">
        <v>544</v>
      </c>
      <c r="Z131" s="15"/>
      <c r="AA131" s="15"/>
      <c r="AB131" s="15"/>
      <c r="AC131" s="15"/>
      <c r="AD131" s="16"/>
    </row>
    <row r="132" spans="1:30" s="60" customFormat="1" ht="12.75" customHeight="1">
      <c r="A132" s="110" t="s">
        <v>237</v>
      </c>
      <c r="B132" s="6" t="s">
        <v>238</v>
      </c>
      <c r="C132" s="6" t="s">
        <v>239</v>
      </c>
      <c r="D132" s="84" t="s">
        <v>240</v>
      </c>
      <c r="E132" s="13">
        <v>2000</v>
      </c>
      <c r="F132" s="13">
        <v>0</v>
      </c>
      <c r="G132" s="13">
        <v>0</v>
      </c>
      <c r="H132" s="108">
        <f t="shared" si="12"/>
        <v>2000</v>
      </c>
      <c r="I132" s="13">
        <v>0</v>
      </c>
      <c r="J132" s="13">
        <v>0</v>
      </c>
      <c r="K132" s="13">
        <f t="shared" si="26"/>
        <v>2000</v>
      </c>
      <c r="L132" s="13">
        <v>1.5</v>
      </c>
      <c r="M132" s="13">
        <f t="shared" si="27"/>
        <v>3000</v>
      </c>
      <c r="N132" s="8"/>
      <c r="O132" s="13">
        <v>1.5</v>
      </c>
      <c r="P132" s="13">
        <f t="shared" si="28"/>
        <v>3000</v>
      </c>
      <c r="Q132" s="13">
        <v>1.5</v>
      </c>
      <c r="R132" s="13">
        <f t="shared" si="17"/>
        <v>3000</v>
      </c>
      <c r="S132" s="8"/>
      <c r="T132" s="9">
        <v>0</v>
      </c>
      <c r="U132" s="15" t="str">
        <f t="shared" si="13"/>
        <v/>
      </c>
      <c r="V132" s="15"/>
      <c r="W132" s="15"/>
      <c r="X132" s="15"/>
      <c r="Y132" s="15"/>
      <c r="Z132" s="15"/>
      <c r="AA132" s="15"/>
      <c r="AB132" s="15"/>
      <c r="AC132" s="15"/>
      <c r="AD132" s="16"/>
    </row>
    <row r="133" spans="1:30" s="60" customFormat="1" ht="12.75" customHeight="1">
      <c r="A133" s="110" t="s">
        <v>237</v>
      </c>
      <c r="B133" s="6" t="s">
        <v>241</v>
      </c>
      <c r="C133" s="12" t="s">
        <v>242</v>
      </c>
      <c r="D133" s="6" t="s">
        <v>241</v>
      </c>
      <c r="E133" s="13">
        <v>500</v>
      </c>
      <c r="F133" s="13">
        <v>0</v>
      </c>
      <c r="G133" s="13">
        <v>450</v>
      </c>
      <c r="H133" s="108">
        <f t="shared" ref="H133:H151" si="29">E133+F133-G133</f>
        <v>50</v>
      </c>
      <c r="I133" s="13">
        <v>1100</v>
      </c>
      <c r="J133" s="13">
        <v>1485</v>
      </c>
      <c r="K133" s="13">
        <f t="shared" si="26"/>
        <v>-335</v>
      </c>
      <c r="L133" s="13">
        <v>2.8</v>
      </c>
      <c r="M133" s="13">
        <f t="shared" si="27"/>
        <v>-937.99999999999989</v>
      </c>
      <c r="N133" s="17"/>
      <c r="O133" s="13">
        <v>2.8</v>
      </c>
      <c r="P133" s="13">
        <f t="shared" si="28"/>
        <v>-937.99999999999989</v>
      </c>
      <c r="Q133" s="13">
        <v>2.8</v>
      </c>
      <c r="R133" s="13">
        <f t="shared" si="17"/>
        <v>140</v>
      </c>
      <c r="S133" s="8" t="s">
        <v>518</v>
      </c>
      <c r="T133" s="9">
        <v>200</v>
      </c>
      <c r="U133" s="15" t="str">
        <f t="shared" si="13"/>
        <v>Y</v>
      </c>
      <c r="V133" s="15"/>
      <c r="W133" s="15"/>
      <c r="X133" s="15"/>
      <c r="Y133" s="15"/>
      <c r="Z133" s="15"/>
      <c r="AA133" s="15"/>
      <c r="AB133" s="15"/>
      <c r="AC133" s="15"/>
      <c r="AD133" s="16"/>
    </row>
    <row r="134" spans="1:30" ht="12.75" customHeight="1">
      <c r="A134" s="110" t="s">
        <v>237</v>
      </c>
      <c r="B134" s="12" t="s">
        <v>237</v>
      </c>
      <c r="C134" s="12" t="s">
        <v>243</v>
      </c>
      <c r="D134" s="12" t="s">
        <v>237</v>
      </c>
      <c r="E134" s="13">
        <v>1400</v>
      </c>
      <c r="F134" s="13">
        <v>0</v>
      </c>
      <c r="G134" s="13">
        <v>0</v>
      </c>
      <c r="H134" s="108">
        <f t="shared" si="29"/>
        <v>1400</v>
      </c>
      <c r="I134" s="13">
        <v>0</v>
      </c>
      <c r="J134" s="13">
        <v>800</v>
      </c>
      <c r="K134" s="13">
        <f t="shared" si="26"/>
        <v>600</v>
      </c>
      <c r="L134" s="13">
        <v>1.35</v>
      </c>
      <c r="M134" s="13">
        <f t="shared" si="27"/>
        <v>810</v>
      </c>
      <c r="N134" s="8"/>
      <c r="O134" s="13">
        <v>1.4</v>
      </c>
      <c r="P134" s="13">
        <f t="shared" si="28"/>
        <v>840</v>
      </c>
      <c r="Q134" s="13">
        <v>1.4</v>
      </c>
      <c r="R134" s="13">
        <f t="shared" si="17"/>
        <v>1959.9999999999998</v>
      </c>
      <c r="S134" s="8"/>
      <c r="T134" s="9">
        <v>200</v>
      </c>
      <c r="U134" s="15" t="str">
        <f t="shared" ref="U134:U154" si="30">IF(T134&gt;H134,"Y","")</f>
        <v/>
      </c>
      <c r="V134" s="15"/>
      <c r="W134" s="15"/>
      <c r="X134" s="15"/>
      <c r="Y134" s="15"/>
      <c r="Z134" s="15"/>
      <c r="AA134" s="15"/>
      <c r="AB134" s="15"/>
      <c r="AC134" s="15"/>
      <c r="AD134" s="16"/>
    </row>
    <row r="135" spans="1:30" ht="12.75" customHeight="1">
      <c r="A135" s="110" t="s">
        <v>237</v>
      </c>
      <c r="B135" s="6" t="s">
        <v>244</v>
      </c>
      <c r="C135" s="12" t="s">
        <v>245</v>
      </c>
      <c r="D135" s="8"/>
      <c r="E135" s="13">
        <v>500</v>
      </c>
      <c r="F135" s="13">
        <v>0</v>
      </c>
      <c r="G135" s="13">
        <v>500</v>
      </c>
      <c r="H135" s="108">
        <f t="shared" si="29"/>
        <v>0</v>
      </c>
      <c r="I135" s="13">
        <v>500</v>
      </c>
      <c r="J135" s="13">
        <v>1500</v>
      </c>
      <c r="K135" s="13">
        <f t="shared" si="26"/>
        <v>-1000</v>
      </c>
      <c r="L135" s="13">
        <v>0.64</v>
      </c>
      <c r="M135" s="13">
        <f t="shared" si="27"/>
        <v>-640</v>
      </c>
      <c r="N135" s="6"/>
      <c r="O135" s="13">
        <v>0.64</v>
      </c>
      <c r="P135" s="13">
        <f t="shared" si="28"/>
        <v>-640</v>
      </c>
      <c r="Q135" s="13">
        <v>0.72</v>
      </c>
      <c r="R135" s="13">
        <f t="shared" si="17"/>
        <v>0</v>
      </c>
      <c r="S135" s="8"/>
      <c r="T135" s="9">
        <v>200</v>
      </c>
      <c r="U135" s="15" t="str">
        <f t="shared" si="30"/>
        <v>Y</v>
      </c>
      <c r="V135" s="15"/>
      <c r="W135" s="15"/>
      <c r="X135" s="15"/>
      <c r="Y135" s="15"/>
      <c r="Z135" s="15"/>
      <c r="AA135" s="15"/>
      <c r="AB135" s="15"/>
      <c r="AC135" s="15"/>
      <c r="AD135" s="16"/>
    </row>
    <row r="136" spans="1:30" ht="12.75" customHeight="1">
      <c r="A136" s="110" t="s">
        <v>246</v>
      </c>
      <c r="B136" s="12" t="s">
        <v>247</v>
      </c>
      <c r="C136" s="12" t="s">
        <v>248</v>
      </c>
      <c r="D136" s="12" t="s">
        <v>249</v>
      </c>
      <c r="E136" s="13">
        <v>29</v>
      </c>
      <c r="F136" s="13">
        <v>20</v>
      </c>
      <c r="G136" s="13">
        <v>32</v>
      </c>
      <c r="H136" s="108">
        <f t="shared" si="29"/>
        <v>17</v>
      </c>
      <c r="I136" s="13">
        <v>20</v>
      </c>
      <c r="J136" s="13">
        <v>11</v>
      </c>
      <c r="K136" s="13">
        <f t="shared" si="26"/>
        <v>26</v>
      </c>
      <c r="L136" s="13">
        <v>1100</v>
      </c>
      <c r="M136" s="13">
        <f t="shared" si="27"/>
        <v>28600</v>
      </c>
      <c r="N136" s="8"/>
      <c r="O136" s="13">
        <v>825</v>
      </c>
      <c r="P136" s="13">
        <f t="shared" si="28"/>
        <v>21450</v>
      </c>
      <c r="Q136" s="13">
        <v>1738</v>
      </c>
      <c r="R136" s="13">
        <f t="shared" si="17"/>
        <v>29546</v>
      </c>
      <c r="S136" s="8"/>
      <c r="T136" s="9">
        <v>10</v>
      </c>
      <c r="U136" s="15" t="str">
        <f t="shared" si="30"/>
        <v/>
      </c>
      <c r="V136" s="15"/>
      <c r="W136" s="15"/>
      <c r="X136" s="15"/>
      <c r="Y136" s="15"/>
      <c r="Z136" s="15"/>
      <c r="AA136" s="15"/>
      <c r="AB136" s="15"/>
      <c r="AC136" s="15"/>
      <c r="AD136" s="16"/>
    </row>
    <row r="137" spans="1:30" ht="12.75" customHeight="1">
      <c r="A137" s="110" t="s">
        <v>246</v>
      </c>
      <c r="B137" s="12" t="s">
        <v>509</v>
      </c>
      <c r="C137" s="12" t="s">
        <v>246</v>
      </c>
      <c r="D137" s="12" t="s">
        <v>509</v>
      </c>
      <c r="E137" s="13">
        <v>30</v>
      </c>
      <c r="F137" s="13">
        <v>20</v>
      </c>
      <c r="G137" s="13">
        <v>24</v>
      </c>
      <c r="H137" s="108">
        <f t="shared" si="29"/>
        <v>26</v>
      </c>
      <c r="I137" s="13">
        <v>38</v>
      </c>
      <c r="J137" s="13">
        <v>29</v>
      </c>
      <c r="K137" s="13">
        <f t="shared" si="26"/>
        <v>35</v>
      </c>
      <c r="L137" s="13">
        <v>2000</v>
      </c>
      <c r="M137" s="13">
        <f t="shared" si="27"/>
        <v>70000</v>
      </c>
      <c r="N137" s="6" t="s">
        <v>250</v>
      </c>
      <c r="O137" s="13">
        <v>2000</v>
      </c>
      <c r="P137" s="13">
        <f t="shared" si="28"/>
        <v>70000</v>
      </c>
      <c r="Q137" s="13">
        <v>3500</v>
      </c>
      <c r="R137" s="13">
        <f t="shared" si="17"/>
        <v>91000</v>
      </c>
      <c r="S137" s="6"/>
      <c r="T137" s="9">
        <v>2</v>
      </c>
      <c r="U137" s="15" t="str">
        <f t="shared" si="30"/>
        <v/>
      </c>
      <c r="V137" s="15"/>
      <c r="W137" s="15"/>
      <c r="X137" s="15"/>
      <c r="Y137" s="15"/>
      <c r="Z137" s="15"/>
      <c r="AA137" s="15"/>
      <c r="AB137" s="15"/>
      <c r="AC137" s="15"/>
      <c r="AD137" s="16"/>
    </row>
    <row r="138" spans="1:30" ht="12.75" customHeight="1">
      <c r="A138" s="110" t="s">
        <v>251</v>
      </c>
      <c r="B138" s="8" t="s">
        <v>517</v>
      </c>
      <c r="C138" s="8"/>
      <c r="D138" s="8"/>
      <c r="E138" s="13">
        <v>1000</v>
      </c>
      <c r="F138" s="13">
        <v>0</v>
      </c>
      <c r="G138" s="13">
        <v>0</v>
      </c>
      <c r="H138" s="108">
        <f t="shared" si="29"/>
        <v>1000</v>
      </c>
      <c r="I138" s="13">
        <v>0</v>
      </c>
      <c r="J138" s="13">
        <v>0</v>
      </c>
      <c r="K138" s="13">
        <f t="shared" si="26"/>
        <v>1000</v>
      </c>
      <c r="L138" s="13">
        <v>1.75</v>
      </c>
      <c r="M138" s="13">
        <f t="shared" si="27"/>
        <v>1750</v>
      </c>
      <c r="N138" s="8"/>
      <c r="O138" s="13">
        <v>1.75</v>
      </c>
      <c r="P138" s="13">
        <f t="shared" si="28"/>
        <v>1750</v>
      </c>
      <c r="Q138" s="13">
        <v>7</v>
      </c>
      <c r="R138" s="13">
        <f t="shared" si="17"/>
        <v>7000</v>
      </c>
      <c r="S138" s="8"/>
      <c r="T138" s="9">
        <v>0</v>
      </c>
      <c r="U138" s="15" t="str">
        <f t="shared" si="30"/>
        <v/>
      </c>
      <c r="V138" s="15"/>
      <c r="W138" s="15"/>
      <c r="X138" s="15"/>
      <c r="Y138" s="15"/>
      <c r="Z138" s="15"/>
      <c r="AA138" s="15"/>
      <c r="AB138" s="15"/>
      <c r="AC138" s="15"/>
      <c r="AD138" s="16"/>
    </row>
    <row r="139" spans="1:30" ht="12.75" customHeight="1">
      <c r="A139" s="110" t="s">
        <v>251</v>
      </c>
      <c r="B139" s="8" t="s">
        <v>516</v>
      </c>
      <c r="C139" s="8"/>
      <c r="D139" s="8"/>
      <c r="E139" s="13">
        <v>3000</v>
      </c>
      <c r="F139" s="13"/>
      <c r="G139" s="13"/>
      <c r="H139" s="108">
        <f t="shared" si="29"/>
        <v>3000</v>
      </c>
      <c r="I139" s="13"/>
      <c r="J139" s="13"/>
      <c r="K139" s="13"/>
      <c r="L139" s="13"/>
      <c r="M139" s="13"/>
      <c r="N139" s="8"/>
      <c r="O139" s="13"/>
      <c r="P139" s="13"/>
      <c r="Q139" s="13">
        <v>4.5</v>
      </c>
      <c r="R139" s="13">
        <f t="shared" si="17"/>
        <v>13500</v>
      </c>
      <c r="S139" s="8"/>
      <c r="T139" s="9">
        <v>0</v>
      </c>
      <c r="U139" s="15" t="str">
        <f t="shared" si="30"/>
        <v/>
      </c>
      <c r="V139" s="15"/>
      <c r="W139" s="15"/>
      <c r="X139" s="15"/>
      <c r="Y139" s="15"/>
      <c r="Z139" s="15"/>
      <c r="AA139" s="15"/>
      <c r="AB139" s="15"/>
      <c r="AC139" s="15"/>
      <c r="AD139" s="16"/>
    </row>
    <row r="140" spans="1:30" ht="12.75" customHeight="1">
      <c r="A140" s="110" t="s">
        <v>251</v>
      </c>
      <c r="B140" s="6" t="s">
        <v>252</v>
      </c>
      <c r="C140" s="8"/>
      <c r="D140" s="8"/>
      <c r="E140" s="13">
        <v>70</v>
      </c>
      <c r="F140" s="13">
        <v>0</v>
      </c>
      <c r="G140" s="13">
        <v>70</v>
      </c>
      <c r="H140" s="108">
        <f t="shared" si="29"/>
        <v>0</v>
      </c>
      <c r="I140" s="8"/>
      <c r="J140" s="8"/>
      <c r="K140" s="8"/>
      <c r="L140" s="8"/>
      <c r="M140" s="8"/>
      <c r="N140" s="8"/>
      <c r="O140" s="8"/>
      <c r="P140" s="8"/>
      <c r="Q140" s="13">
        <v>11</v>
      </c>
      <c r="R140" s="13">
        <f t="shared" si="17"/>
        <v>0</v>
      </c>
      <c r="S140" s="8" t="s">
        <v>518</v>
      </c>
      <c r="T140" s="9">
        <v>0</v>
      </c>
      <c r="U140" s="15" t="str">
        <f t="shared" si="30"/>
        <v/>
      </c>
      <c r="V140" s="15"/>
      <c r="W140" s="15"/>
      <c r="X140" s="15"/>
      <c r="Y140" s="15"/>
      <c r="Z140" s="15"/>
      <c r="AA140" s="15"/>
      <c r="AB140" s="15"/>
      <c r="AC140" s="15"/>
      <c r="AD140" s="16"/>
    </row>
    <row r="141" spans="1:30" ht="12.75" customHeight="1">
      <c r="A141" s="110" t="s">
        <v>251</v>
      </c>
      <c r="B141" s="6" t="s">
        <v>493</v>
      </c>
      <c r="C141" s="8"/>
      <c r="D141" s="8"/>
      <c r="E141" s="13">
        <v>50</v>
      </c>
      <c r="F141" s="13"/>
      <c r="G141" s="13"/>
      <c r="H141" s="108">
        <f t="shared" si="29"/>
        <v>50</v>
      </c>
      <c r="I141" s="8"/>
      <c r="J141" s="8"/>
      <c r="K141" s="8"/>
      <c r="L141" s="8"/>
      <c r="M141" s="8"/>
      <c r="N141" s="8"/>
      <c r="O141" s="8"/>
      <c r="P141" s="8"/>
      <c r="Q141" s="13">
        <v>14.5</v>
      </c>
      <c r="R141" s="13">
        <f t="shared" ref="R141:R151" si="31">H141*Q141</f>
        <v>725</v>
      </c>
      <c r="S141" s="8"/>
      <c r="T141" s="9">
        <v>0</v>
      </c>
      <c r="U141" s="15" t="str">
        <f t="shared" si="30"/>
        <v/>
      </c>
      <c r="V141" s="15"/>
      <c r="W141" s="15"/>
      <c r="X141" s="15"/>
      <c r="Y141" s="15"/>
      <c r="Z141" s="15"/>
      <c r="AA141" s="15"/>
      <c r="AB141" s="15"/>
      <c r="AC141" s="15"/>
      <c r="AD141" s="16"/>
    </row>
    <row r="142" spans="1:30" ht="12.75" customHeight="1">
      <c r="A142" s="110" t="s">
        <v>251</v>
      </c>
      <c r="B142" s="6" t="s">
        <v>253</v>
      </c>
      <c r="C142" s="6" t="s">
        <v>254</v>
      </c>
      <c r="D142" s="6" t="s">
        <v>145</v>
      </c>
      <c r="E142" s="13">
        <v>550</v>
      </c>
      <c r="F142" s="13">
        <v>2000</v>
      </c>
      <c r="G142" s="13">
        <v>750</v>
      </c>
      <c r="H142" s="108">
        <f t="shared" si="29"/>
        <v>1800</v>
      </c>
      <c r="I142" s="13">
        <v>2000</v>
      </c>
      <c r="J142" s="13">
        <v>600</v>
      </c>
      <c r="K142" s="13">
        <f t="shared" ref="K142:K151" si="32">H142+I142-J142</f>
        <v>3200</v>
      </c>
      <c r="L142" s="13">
        <v>12.5</v>
      </c>
      <c r="M142" s="13">
        <f t="shared" ref="M142:M150" si="33">K142*L142</f>
        <v>40000</v>
      </c>
      <c r="N142" s="8"/>
      <c r="O142" s="13">
        <v>10</v>
      </c>
      <c r="P142" s="13">
        <f t="shared" ref="P142:P151" si="34">K142*O142</f>
        <v>32000</v>
      </c>
      <c r="Q142" s="13">
        <v>13</v>
      </c>
      <c r="R142" s="13">
        <f t="shared" si="31"/>
        <v>23400</v>
      </c>
      <c r="S142" s="8"/>
      <c r="T142" s="9">
        <v>500</v>
      </c>
      <c r="U142" s="15" t="str">
        <f t="shared" si="30"/>
        <v/>
      </c>
      <c r="V142" s="15"/>
      <c r="W142" s="15"/>
      <c r="X142" s="15"/>
      <c r="Y142" s="15"/>
      <c r="Z142" s="15"/>
      <c r="AA142" s="15"/>
      <c r="AB142" s="15"/>
      <c r="AC142" s="15"/>
      <c r="AD142" s="16"/>
    </row>
    <row r="143" spans="1:30" ht="12.75" customHeight="1">
      <c r="A143" s="110" t="s">
        <v>251</v>
      </c>
      <c r="B143" s="6" t="s">
        <v>255</v>
      </c>
      <c r="C143" s="6" t="s">
        <v>256</v>
      </c>
      <c r="D143" s="6" t="s">
        <v>255</v>
      </c>
      <c r="E143" s="13">
        <v>100</v>
      </c>
      <c r="F143" s="13">
        <v>0</v>
      </c>
      <c r="G143" s="13">
        <v>50</v>
      </c>
      <c r="H143" s="108">
        <f t="shared" si="29"/>
        <v>50</v>
      </c>
      <c r="I143" s="13">
        <v>0</v>
      </c>
      <c r="J143" s="13">
        <v>0</v>
      </c>
      <c r="K143" s="13">
        <f t="shared" si="32"/>
        <v>50</v>
      </c>
      <c r="L143" s="13">
        <v>30</v>
      </c>
      <c r="M143" s="13">
        <f t="shared" si="33"/>
        <v>1500</v>
      </c>
      <c r="N143" s="27"/>
      <c r="O143" s="13">
        <v>30</v>
      </c>
      <c r="P143" s="13">
        <f t="shared" si="34"/>
        <v>1500</v>
      </c>
      <c r="Q143" s="13">
        <v>3.5</v>
      </c>
      <c r="R143" s="13">
        <f t="shared" si="31"/>
        <v>175</v>
      </c>
      <c r="S143" s="8"/>
      <c r="T143" s="9">
        <v>0</v>
      </c>
      <c r="U143" s="15" t="str">
        <f t="shared" si="30"/>
        <v/>
      </c>
      <c r="V143" s="15"/>
      <c r="W143" s="15"/>
      <c r="X143" s="15"/>
      <c r="Y143" s="15"/>
      <c r="Z143" s="15"/>
      <c r="AA143" s="15"/>
      <c r="AB143" s="15"/>
      <c r="AC143" s="15"/>
      <c r="AD143" s="16"/>
    </row>
    <row r="144" spans="1:30" ht="12.75" customHeight="1">
      <c r="A144" s="110" t="s">
        <v>251</v>
      </c>
      <c r="B144" s="6" t="s">
        <v>255</v>
      </c>
      <c r="C144" s="6" t="s">
        <v>257</v>
      </c>
      <c r="D144" s="6" t="s">
        <v>255</v>
      </c>
      <c r="E144" s="13">
        <v>100</v>
      </c>
      <c r="F144" s="13">
        <v>100</v>
      </c>
      <c r="G144" s="13">
        <v>100</v>
      </c>
      <c r="H144" s="108">
        <f t="shared" si="29"/>
        <v>100</v>
      </c>
      <c r="I144" s="13">
        <v>0</v>
      </c>
      <c r="J144" s="13">
        <v>0</v>
      </c>
      <c r="K144" s="13">
        <f t="shared" si="32"/>
        <v>100</v>
      </c>
      <c r="L144" s="13">
        <v>2</v>
      </c>
      <c r="M144" s="13">
        <f t="shared" si="33"/>
        <v>200</v>
      </c>
      <c r="N144" s="33"/>
      <c r="O144" s="13">
        <v>2</v>
      </c>
      <c r="P144" s="13">
        <f t="shared" si="34"/>
        <v>200</v>
      </c>
      <c r="Q144" s="13">
        <v>1.5</v>
      </c>
      <c r="R144" s="13">
        <f t="shared" si="31"/>
        <v>150</v>
      </c>
      <c r="S144" s="8"/>
      <c r="T144" s="9">
        <v>0</v>
      </c>
      <c r="U144" s="15" t="str">
        <f t="shared" si="30"/>
        <v/>
      </c>
      <c r="V144" s="15"/>
      <c r="W144" s="15"/>
      <c r="X144" s="15"/>
      <c r="Y144" s="15" t="s">
        <v>79</v>
      </c>
      <c r="Z144" s="15"/>
      <c r="AA144" s="15"/>
      <c r="AB144" s="15"/>
      <c r="AC144" s="15"/>
      <c r="AD144" s="16"/>
    </row>
    <row r="145" spans="1:30" ht="12.75" customHeight="1">
      <c r="A145" s="110" t="s">
        <v>251</v>
      </c>
      <c r="B145" s="12" t="s">
        <v>258</v>
      </c>
      <c r="C145" s="12" t="s">
        <v>258</v>
      </c>
      <c r="D145" s="12" t="s">
        <v>259</v>
      </c>
      <c r="E145" s="13">
        <v>0</v>
      </c>
      <c r="F145" s="13">
        <v>3000</v>
      </c>
      <c r="G145" s="13">
        <v>2000</v>
      </c>
      <c r="H145" s="108">
        <f t="shared" si="29"/>
        <v>1000</v>
      </c>
      <c r="I145" s="13">
        <v>26000</v>
      </c>
      <c r="J145" s="13">
        <v>4500</v>
      </c>
      <c r="K145" s="13">
        <f t="shared" si="32"/>
        <v>22500</v>
      </c>
      <c r="L145" s="13">
        <v>25</v>
      </c>
      <c r="M145" s="13">
        <f t="shared" si="33"/>
        <v>562500</v>
      </c>
      <c r="N145" s="33"/>
      <c r="O145" s="13">
        <v>25</v>
      </c>
      <c r="P145" s="13">
        <f t="shared" si="34"/>
        <v>562500</v>
      </c>
      <c r="Q145" s="13">
        <v>4.5</v>
      </c>
      <c r="R145" s="13">
        <f t="shared" si="31"/>
        <v>4500</v>
      </c>
      <c r="S145" s="8"/>
      <c r="T145" s="9">
        <v>2000</v>
      </c>
      <c r="U145" s="15" t="str">
        <f t="shared" si="30"/>
        <v>Y</v>
      </c>
      <c r="V145" s="15"/>
      <c r="W145" s="15"/>
      <c r="X145" s="15"/>
      <c r="Y145" s="15"/>
      <c r="Z145" s="15"/>
      <c r="AA145" s="15"/>
      <c r="AB145" s="15"/>
      <c r="AC145" s="15"/>
      <c r="AD145" s="16"/>
    </row>
    <row r="146" spans="1:30" ht="12.75" customHeight="1">
      <c r="A146" s="110" t="s">
        <v>251</v>
      </c>
      <c r="B146" s="12" t="s">
        <v>260</v>
      </c>
      <c r="C146" s="6" t="s">
        <v>261</v>
      </c>
      <c r="D146" s="12" t="s">
        <v>262</v>
      </c>
      <c r="E146" s="13">
        <v>10000</v>
      </c>
      <c r="F146" s="13">
        <v>5000</v>
      </c>
      <c r="G146" s="13">
        <v>8000</v>
      </c>
      <c r="H146" s="108">
        <f t="shared" si="29"/>
        <v>7000</v>
      </c>
      <c r="I146" s="13">
        <v>0</v>
      </c>
      <c r="J146" s="13">
        <v>0</v>
      </c>
      <c r="K146" s="13">
        <f t="shared" si="32"/>
        <v>7000</v>
      </c>
      <c r="L146" s="13">
        <v>4.4000000000000004</v>
      </c>
      <c r="M146" s="13">
        <f t="shared" si="33"/>
        <v>30800.000000000004</v>
      </c>
      <c r="N146" s="8"/>
      <c r="O146" s="13">
        <v>4.4000000000000004</v>
      </c>
      <c r="P146" s="13">
        <f t="shared" si="34"/>
        <v>30800.000000000004</v>
      </c>
      <c r="Q146" s="26">
        <v>4.5</v>
      </c>
      <c r="R146" s="13">
        <f t="shared" si="31"/>
        <v>31500</v>
      </c>
      <c r="S146" s="8"/>
      <c r="T146" s="9">
        <v>2000</v>
      </c>
      <c r="U146" s="15" t="str">
        <f t="shared" si="30"/>
        <v/>
      </c>
      <c r="V146" s="15"/>
      <c r="W146" s="15"/>
      <c r="X146" s="15"/>
      <c r="Y146" s="15"/>
      <c r="Z146" s="15"/>
      <c r="AA146" s="15"/>
      <c r="AB146" s="15"/>
      <c r="AC146" s="15"/>
      <c r="AD146" s="16"/>
    </row>
    <row r="147" spans="1:30" ht="12.75" customHeight="1">
      <c r="A147" s="110" t="s">
        <v>251</v>
      </c>
      <c r="B147" s="12" t="s">
        <v>450</v>
      </c>
      <c r="C147" s="6" t="s">
        <v>170</v>
      </c>
      <c r="D147" s="12" t="s">
        <v>457</v>
      </c>
      <c r="E147" s="13">
        <v>4000</v>
      </c>
      <c r="F147" s="13">
        <v>0</v>
      </c>
      <c r="G147" s="13">
        <v>0</v>
      </c>
      <c r="H147" s="108">
        <f t="shared" si="29"/>
        <v>4000</v>
      </c>
      <c r="I147" s="13"/>
      <c r="J147" s="13"/>
      <c r="K147" s="13"/>
      <c r="L147" s="13"/>
      <c r="M147" s="13"/>
      <c r="N147" s="8"/>
      <c r="O147" s="13"/>
      <c r="P147" s="13"/>
      <c r="Q147" s="26">
        <v>3.6</v>
      </c>
      <c r="R147" s="13">
        <f t="shared" si="31"/>
        <v>14400</v>
      </c>
      <c r="S147" s="8"/>
      <c r="T147" s="9">
        <v>0</v>
      </c>
      <c r="U147" s="15" t="str">
        <f t="shared" si="30"/>
        <v/>
      </c>
      <c r="V147" s="15"/>
      <c r="W147" s="15"/>
      <c r="X147" s="15"/>
      <c r="Y147" s="15"/>
      <c r="Z147" s="15"/>
      <c r="AA147" s="15"/>
      <c r="AB147" s="15"/>
      <c r="AC147" s="15"/>
      <c r="AD147" s="16"/>
    </row>
    <row r="148" spans="1:30" ht="12.75" customHeight="1">
      <c r="A148" s="110" t="s">
        <v>251</v>
      </c>
      <c r="B148" s="12" t="s">
        <v>451</v>
      </c>
      <c r="C148" s="6" t="s">
        <v>170</v>
      </c>
      <c r="D148" s="12" t="s">
        <v>458</v>
      </c>
      <c r="E148" s="13">
        <v>5000</v>
      </c>
      <c r="F148" s="13">
        <v>0</v>
      </c>
      <c r="G148" s="13">
        <v>4000</v>
      </c>
      <c r="H148" s="108">
        <f t="shared" si="29"/>
        <v>1000</v>
      </c>
      <c r="I148" s="13"/>
      <c r="J148" s="13"/>
      <c r="K148" s="13"/>
      <c r="L148" s="13"/>
      <c r="M148" s="13"/>
      <c r="N148" s="8"/>
      <c r="O148" s="13"/>
      <c r="P148" s="13"/>
      <c r="Q148" s="26">
        <v>3.6</v>
      </c>
      <c r="R148" s="13">
        <f t="shared" si="31"/>
        <v>3600</v>
      </c>
      <c r="S148" s="105" t="s">
        <v>526</v>
      </c>
      <c r="T148" s="9">
        <v>0</v>
      </c>
      <c r="U148" s="15" t="str">
        <f t="shared" si="30"/>
        <v/>
      </c>
      <c r="V148" s="15"/>
      <c r="W148" s="15"/>
      <c r="X148" s="15"/>
      <c r="Y148" s="15"/>
      <c r="Z148" s="15"/>
      <c r="AA148" s="15"/>
      <c r="AB148" s="15"/>
      <c r="AC148" s="15"/>
      <c r="AD148" s="16"/>
    </row>
    <row r="149" spans="1:30" ht="12.75" customHeight="1">
      <c r="A149" s="110" t="s">
        <v>251</v>
      </c>
      <c r="B149" s="12" t="s">
        <v>255</v>
      </c>
      <c r="C149" s="12" t="s">
        <v>263</v>
      </c>
      <c r="D149" s="12" t="s">
        <v>538</v>
      </c>
      <c r="E149" s="13">
        <v>5000</v>
      </c>
      <c r="F149" s="13">
        <v>20000</v>
      </c>
      <c r="G149" s="13">
        <v>4000</v>
      </c>
      <c r="H149" s="108">
        <f t="shared" si="29"/>
        <v>21000</v>
      </c>
      <c r="I149" s="13">
        <v>0</v>
      </c>
      <c r="J149" s="13">
        <v>100000</v>
      </c>
      <c r="K149" s="13">
        <f t="shared" si="32"/>
        <v>-79000</v>
      </c>
      <c r="L149" s="13">
        <v>0.33500000000000002</v>
      </c>
      <c r="M149" s="13">
        <f t="shared" si="33"/>
        <v>-26465</v>
      </c>
      <c r="N149" s="18"/>
      <c r="O149" s="13">
        <v>0.27</v>
      </c>
      <c r="P149" s="13">
        <f t="shared" si="34"/>
        <v>-21330</v>
      </c>
      <c r="Q149" s="13">
        <v>0.27</v>
      </c>
      <c r="R149" s="13">
        <f t="shared" si="31"/>
        <v>5670</v>
      </c>
      <c r="S149" s="8"/>
      <c r="T149" s="9">
        <v>2000</v>
      </c>
      <c r="U149" s="15" t="str">
        <f t="shared" si="30"/>
        <v/>
      </c>
      <c r="V149" s="15"/>
      <c r="W149" s="15"/>
      <c r="X149" s="15"/>
      <c r="Y149" s="15"/>
      <c r="Z149" s="15"/>
      <c r="AA149" s="15"/>
      <c r="AB149" s="15"/>
      <c r="AC149" s="15"/>
      <c r="AD149" s="16"/>
    </row>
    <row r="150" spans="1:30" ht="12.75" customHeight="1">
      <c r="A150" s="110" t="s">
        <v>255</v>
      </c>
      <c r="B150" s="6" t="s">
        <v>264</v>
      </c>
      <c r="C150" s="12" t="s">
        <v>265</v>
      </c>
      <c r="D150" s="6" t="s">
        <v>264</v>
      </c>
      <c r="E150" s="13">
        <v>100</v>
      </c>
      <c r="F150" s="13">
        <v>0</v>
      </c>
      <c r="G150" s="13">
        <v>50</v>
      </c>
      <c r="H150" s="108">
        <f t="shared" si="29"/>
        <v>50</v>
      </c>
      <c r="I150" s="13">
        <v>0</v>
      </c>
      <c r="J150" s="13">
        <v>0</v>
      </c>
      <c r="K150" s="13">
        <f t="shared" si="32"/>
        <v>50</v>
      </c>
      <c r="L150" s="13">
        <v>5</v>
      </c>
      <c r="M150" s="13">
        <f t="shared" si="33"/>
        <v>250</v>
      </c>
      <c r="N150" s="18"/>
      <c r="O150" s="13">
        <v>5</v>
      </c>
      <c r="P150" s="13">
        <f t="shared" si="34"/>
        <v>250</v>
      </c>
      <c r="Q150" s="13">
        <v>1.75</v>
      </c>
      <c r="R150" s="13">
        <f t="shared" si="31"/>
        <v>87.5</v>
      </c>
      <c r="S150" s="8"/>
      <c r="T150" s="9">
        <v>0</v>
      </c>
      <c r="U150" s="15" t="str">
        <f t="shared" si="30"/>
        <v/>
      </c>
      <c r="V150" s="15"/>
      <c r="W150" s="15"/>
      <c r="X150" s="15"/>
      <c r="Y150" s="15"/>
      <c r="Z150" s="15"/>
      <c r="AA150" s="15"/>
      <c r="AB150" s="15"/>
      <c r="AC150" s="15"/>
      <c r="AD150" s="16"/>
    </row>
    <row r="151" spans="1:30" ht="12.75" customHeight="1">
      <c r="A151" s="110" t="s">
        <v>266</v>
      </c>
      <c r="B151" s="12" t="s">
        <v>266</v>
      </c>
      <c r="C151" s="12" t="s">
        <v>266</v>
      </c>
      <c r="D151" s="8"/>
      <c r="E151" s="13">
        <v>1000</v>
      </c>
      <c r="F151" s="13">
        <v>800</v>
      </c>
      <c r="G151" s="13">
        <v>400</v>
      </c>
      <c r="H151" s="108">
        <f t="shared" si="29"/>
        <v>1400</v>
      </c>
      <c r="I151" s="13">
        <v>200</v>
      </c>
      <c r="J151" s="13">
        <v>80</v>
      </c>
      <c r="K151" s="13">
        <f t="shared" si="32"/>
        <v>1520</v>
      </c>
      <c r="L151" s="13">
        <v>120</v>
      </c>
      <c r="M151" s="13">
        <f>K151*L151</f>
        <v>182400</v>
      </c>
      <c r="N151" s="8"/>
      <c r="O151" s="13">
        <v>120</v>
      </c>
      <c r="P151" s="13">
        <f t="shared" si="34"/>
        <v>182400</v>
      </c>
      <c r="Q151" s="13">
        <v>5.75</v>
      </c>
      <c r="R151" s="13">
        <f t="shared" si="31"/>
        <v>8050</v>
      </c>
      <c r="S151" s="8" t="s">
        <v>518</v>
      </c>
      <c r="T151" s="9">
        <v>200</v>
      </c>
      <c r="U151" s="15" t="str">
        <f t="shared" si="30"/>
        <v/>
      </c>
      <c r="V151" s="48"/>
      <c r="W151" s="15"/>
      <c r="X151" s="15"/>
      <c r="Y151" s="15"/>
      <c r="Z151" s="15"/>
      <c r="AA151" s="15"/>
      <c r="AB151" s="15"/>
      <c r="AC151" s="15"/>
      <c r="AD151" s="16"/>
    </row>
    <row r="152" spans="1:30" ht="12.75" customHeight="1">
      <c r="A152" s="115"/>
      <c r="B152" s="27" t="s">
        <v>267</v>
      </c>
      <c r="C152" s="8"/>
      <c r="D152" s="8"/>
      <c r="E152" s="8"/>
      <c r="F152" s="13">
        <v>0</v>
      </c>
      <c r="G152" s="13">
        <v>0</v>
      </c>
      <c r="H152" s="108">
        <v>0</v>
      </c>
      <c r="I152" s="8"/>
      <c r="J152" s="6"/>
      <c r="K152" s="12" t="s">
        <v>268</v>
      </c>
      <c r="L152" s="8"/>
      <c r="M152" s="13" t="e">
        <f>SUM(M7:M151)</f>
        <v>#REF!</v>
      </c>
      <c r="N152" s="18"/>
      <c r="O152" s="8"/>
      <c r="P152" s="26" t="e">
        <f>SUM(P7:P151)</f>
        <v>#REF!</v>
      </c>
      <c r="Q152" s="8"/>
      <c r="R152" s="83">
        <f>SUM(R2:R151)</f>
        <v>1973007.59</v>
      </c>
      <c r="S152" s="8"/>
      <c r="T152" s="9">
        <v>0</v>
      </c>
      <c r="U152" s="15" t="str">
        <f t="shared" si="30"/>
        <v/>
      </c>
      <c r="W152" s="48"/>
      <c r="X152" s="48"/>
      <c r="Y152" s="48"/>
      <c r="Z152" s="48"/>
      <c r="AA152" s="48"/>
      <c r="AB152" s="48"/>
      <c r="AC152" s="48"/>
      <c r="AD152" s="50"/>
    </row>
    <row r="153" spans="1:30" ht="12.75" customHeight="1">
      <c r="A153" s="38"/>
      <c r="B153" s="91" t="s">
        <v>269</v>
      </c>
      <c r="C153" s="34"/>
      <c r="D153" s="35"/>
      <c r="E153" s="35"/>
      <c r="F153" s="35"/>
      <c r="G153" s="35"/>
      <c r="H153" s="36"/>
      <c r="I153" s="35"/>
      <c r="J153" s="35"/>
      <c r="K153" s="35"/>
      <c r="L153" s="35"/>
      <c r="M153" s="35"/>
      <c r="N153" s="35"/>
      <c r="O153" s="35"/>
      <c r="P153" s="37"/>
      <c r="Q153" s="38"/>
      <c r="R153" s="39">
        <v>1786817</v>
      </c>
      <c r="S153" s="34"/>
      <c r="T153" s="9">
        <v>0</v>
      </c>
      <c r="U153" s="15" t="str">
        <f t="shared" si="30"/>
        <v/>
      </c>
    </row>
    <row r="154" spans="1:30" ht="12.75" customHeight="1">
      <c r="A154" s="127"/>
      <c r="B154" s="126"/>
      <c r="C154" s="128"/>
      <c r="D154" s="15"/>
      <c r="E154" s="129"/>
      <c r="F154" s="129"/>
      <c r="G154" s="129"/>
      <c r="H154" s="130"/>
      <c r="I154" s="129"/>
      <c r="J154" s="129"/>
      <c r="K154" s="129"/>
      <c r="L154" s="129"/>
      <c r="M154" s="129"/>
      <c r="N154" s="131"/>
      <c r="O154" s="129"/>
      <c r="P154" s="129"/>
      <c r="Q154" s="129"/>
      <c r="R154" s="129"/>
      <c r="S154" s="132"/>
      <c r="T154" s="133"/>
      <c r="U154" s="15" t="str">
        <f t="shared" si="30"/>
        <v/>
      </c>
    </row>
    <row r="155" spans="1:30" ht="12.75" customHeight="1">
      <c r="A155" s="40"/>
      <c r="B155" s="41" t="s">
        <v>270</v>
      </c>
      <c r="C155" s="14"/>
      <c r="D155" s="15"/>
      <c r="E155" s="15"/>
      <c r="F155" s="15"/>
      <c r="G155" s="15"/>
      <c r="H155" s="42"/>
      <c r="I155" s="15"/>
      <c r="J155" s="15"/>
      <c r="K155" s="15"/>
      <c r="L155" s="15"/>
      <c r="M155" s="15"/>
      <c r="N155" s="15"/>
      <c r="O155" s="15"/>
      <c r="P155" s="37"/>
      <c r="Q155" s="43"/>
      <c r="R155" s="44">
        <f>+SUM(R152:R153)</f>
        <v>3759824.59</v>
      </c>
      <c r="S155" s="92" t="s">
        <v>508</v>
      </c>
      <c r="T155" s="15"/>
      <c r="U155" s="48"/>
    </row>
    <row r="156" spans="1:30" ht="12.75" customHeight="1">
      <c r="A156" s="45"/>
      <c r="B156" s="15"/>
      <c r="C156" s="15"/>
      <c r="D156" s="15"/>
      <c r="E156" s="15"/>
      <c r="F156" s="15"/>
      <c r="G156" s="15"/>
      <c r="H156" s="42"/>
      <c r="I156" s="15"/>
      <c r="J156" s="15"/>
      <c r="K156" s="15"/>
      <c r="L156" s="15"/>
      <c r="M156" s="15"/>
      <c r="N156" s="15"/>
      <c r="O156" s="15"/>
      <c r="P156" s="37"/>
      <c r="Q156" s="15"/>
      <c r="R156" s="35"/>
      <c r="S156" s="15"/>
      <c r="T156" s="15"/>
    </row>
    <row r="157" spans="1:30" ht="12.75" customHeight="1">
      <c r="A157" s="45"/>
      <c r="B157" s="15"/>
      <c r="C157" s="15"/>
      <c r="D157" s="15"/>
      <c r="E157" s="15"/>
      <c r="F157" s="15"/>
      <c r="G157" s="15"/>
      <c r="H157" s="42"/>
      <c r="I157" s="15"/>
      <c r="J157" s="15"/>
      <c r="K157" s="15"/>
      <c r="L157" s="15"/>
      <c r="M157" s="15"/>
      <c r="N157" s="15"/>
      <c r="O157" s="15"/>
      <c r="P157" s="37"/>
      <c r="Q157" s="15"/>
      <c r="R157" s="15"/>
      <c r="S157" s="15"/>
      <c r="T157" s="15"/>
    </row>
    <row r="158" spans="1:30" ht="12.75" customHeight="1">
      <c r="A158" s="45"/>
      <c r="B158" s="15"/>
      <c r="C158" s="15"/>
      <c r="D158" s="15"/>
      <c r="E158" s="15"/>
      <c r="F158" s="15"/>
      <c r="G158" s="15"/>
      <c r="H158" s="42"/>
      <c r="I158" s="15"/>
      <c r="J158" s="15"/>
      <c r="K158" s="15"/>
      <c r="L158" s="15"/>
      <c r="M158" s="15"/>
      <c r="N158" s="15"/>
      <c r="O158" s="15"/>
      <c r="P158" s="46"/>
      <c r="Q158" s="15"/>
      <c r="R158" s="15"/>
      <c r="S158" s="15"/>
      <c r="T158" s="15"/>
    </row>
    <row r="159" spans="1:30" ht="12.75" customHeight="1">
      <c r="A159" s="45"/>
      <c r="B159" s="15"/>
      <c r="C159" s="15"/>
      <c r="D159" s="15"/>
      <c r="E159" s="15"/>
      <c r="F159" s="15"/>
      <c r="G159" s="15"/>
      <c r="H159" s="42"/>
      <c r="I159" s="15"/>
      <c r="J159" s="15"/>
      <c r="K159" s="15"/>
      <c r="L159" s="15"/>
      <c r="M159" s="15"/>
      <c r="N159" s="15"/>
      <c r="O159" s="15"/>
      <c r="P159" s="37"/>
      <c r="Q159" s="15"/>
      <c r="R159" s="15"/>
      <c r="S159" s="15"/>
      <c r="T159" s="15"/>
    </row>
    <row r="160" spans="1:30" ht="12.75" customHeight="1">
      <c r="A160" s="45"/>
      <c r="B160" s="15"/>
      <c r="C160" s="15"/>
      <c r="D160" s="15"/>
      <c r="E160" s="15"/>
      <c r="F160" s="15"/>
      <c r="G160" s="15"/>
      <c r="H160" s="42"/>
      <c r="I160" s="15"/>
      <c r="J160" s="15"/>
      <c r="K160" s="15"/>
      <c r="L160" s="15"/>
      <c r="M160" s="15"/>
      <c r="N160" s="15"/>
      <c r="O160" s="15"/>
      <c r="P160" s="37"/>
      <c r="Q160" s="15"/>
      <c r="R160" s="15"/>
      <c r="S160" s="15"/>
      <c r="T160" s="15"/>
    </row>
    <row r="161" spans="1:20" ht="12.75" customHeight="1">
      <c r="A161" s="45"/>
      <c r="B161" s="15"/>
      <c r="C161" s="15"/>
      <c r="D161" s="15"/>
      <c r="E161" s="15"/>
      <c r="F161" s="15"/>
      <c r="G161" s="15"/>
      <c r="H161" s="42"/>
      <c r="I161" s="15"/>
      <c r="J161" s="15"/>
      <c r="K161" s="15"/>
      <c r="L161" s="15"/>
      <c r="M161" s="15"/>
      <c r="N161" s="15"/>
      <c r="O161" s="15"/>
      <c r="P161" s="37"/>
      <c r="Q161" s="15"/>
      <c r="R161" s="15"/>
      <c r="S161" s="15"/>
      <c r="T161" s="15"/>
    </row>
    <row r="162" spans="1:20" ht="12.75" customHeight="1">
      <c r="A162" s="45"/>
      <c r="B162" s="15"/>
      <c r="C162" s="15"/>
      <c r="D162" s="15"/>
      <c r="E162" s="15"/>
      <c r="F162" s="15"/>
      <c r="G162" s="15"/>
      <c r="H162" s="42"/>
      <c r="I162" s="15"/>
      <c r="J162" s="15"/>
      <c r="K162" s="15"/>
      <c r="L162" s="15"/>
      <c r="M162" s="15"/>
      <c r="N162" s="15"/>
      <c r="O162" s="15"/>
      <c r="P162" s="37"/>
      <c r="Q162" s="15"/>
      <c r="R162" s="15"/>
      <c r="S162" s="15"/>
      <c r="T162" s="15"/>
    </row>
    <row r="163" spans="1:20" ht="12.75" customHeight="1">
      <c r="A163" s="45"/>
      <c r="B163" s="15"/>
      <c r="C163" s="15"/>
      <c r="D163" s="15"/>
      <c r="E163" s="15"/>
      <c r="F163" s="15"/>
      <c r="G163" s="15"/>
      <c r="H163" s="42"/>
      <c r="I163" s="15"/>
      <c r="J163" s="15"/>
      <c r="K163" s="15"/>
      <c r="L163" s="15"/>
      <c r="M163" s="15"/>
      <c r="N163" s="15"/>
      <c r="O163" s="15"/>
      <c r="P163" s="37"/>
      <c r="Q163" s="15"/>
      <c r="R163" s="15"/>
      <c r="S163" s="15"/>
      <c r="T163" s="15"/>
    </row>
    <row r="164" spans="1:20" ht="12.75" customHeight="1">
      <c r="A164" s="45"/>
      <c r="B164" s="15"/>
      <c r="C164" s="15"/>
      <c r="D164" s="15"/>
      <c r="E164" s="15"/>
      <c r="F164" s="15"/>
      <c r="G164" s="15"/>
      <c r="H164" s="42"/>
      <c r="I164" s="15"/>
      <c r="J164" s="15"/>
      <c r="K164" s="15"/>
      <c r="L164" s="15"/>
      <c r="M164" s="15"/>
      <c r="N164" s="15"/>
      <c r="O164" s="15"/>
      <c r="P164" s="37"/>
      <c r="Q164" s="15"/>
      <c r="R164" s="15"/>
      <c r="S164" s="15"/>
      <c r="T164" s="15"/>
    </row>
    <row r="165" spans="1:20" ht="12.75" customHeight="1">
      <c r="A165" s="45"/>
      <c r="B165" s="15"/>
      <c r="C165" s="15"/>
      <c r="D165" s="15"/>
      <c r="E165" s="15"/>
      <c r="F165" s="15"/>
      <c r="G165" s="15"/>
      <c r="H165" s="42"/>
      <c r="I165" s="15"/>
      <c r="J165" s="15"/>
      <c r="K165" s="15"/>
      <c r="L165" s="15"/>
      <c r="M165" s="15"/>
      <c r="N165" s="15"/>
      <c r="O165" s="15"/>
      <c r="P165" s="37"/>
      <c r="Q165" s="15"/>
      <c r="R165" s="15"/>
      <c r="S165" s="15"/>
      <c r="T165" s="15"/>
    </row>
    <row r="166" spans="1:20" ht="12.75" customHeight="1">
      <c r="A166" s="45"/>
      <c r="B166" s="15"/>
      <c r="C166" s="15"/>
      <c r="D166" s="15"/>
      <c r="E166" s="15"/>
      <c r="F166" s="15"/>
      <c r="G166" s="15"/>
      <c r="H166" s="42"/>
      <c r="I166" s="15"/>
      <c r="J166" s="15"/>
      <c r="K166" s="15"/>
      <c r="L166" s="15"/>
      <c r="M166" s="15"/>
      <c r="N166" s="15"/>
      <c r="O166" s="15"/>
      <c r="P166" s="37"/>
      <c r="Q166" s="15"/>
      <c r="R166" s="15"/>
      <c r="S166" s="15"/>
      <c r="T166" s="48"/>
    </row>
    <row r="167" spans="1:20" ht="12.75" customHeight="1">
      <c r="A167" s="47"/>
      <c r="B167" s="48"/>
      <c r="C167" s="48"/>
      <c r="D167" s="48"/>
      <c r="E167" s="48"/>
      <c r="F167" s="48"/>
      <c r="G167" s="48"/>
      <c r="H167" s="49"/>
      <c r="I167" s="48"/>
      <c r="J167" s="48"/>
      <c r="K167" s="48"/>
      <c r="L167" s="48"/>
      <c r="M167" s="48"/>
      <c r="N167" s="48"/>
      <c r="O167" s="48"/>
      <c r="P167" s="37"/>
      <c r="Q167" s="48"/>
      <c r="R167" s="48"/>
      <c r="S167" s="48"/>
    </row>
  </sheetData>
  <conditionalFormatting sqref="U2:U154">
    <cfRule type="cellIs" dxfId="78" priority="2" operator="equal">
      <formula>"""Y"""</formula>
    </cfRule>
  </conditionalFormatting>
  <conditionalFormatting sqref="U2:U154">
    <cfRule type="cellIs" dxfId="77" priority="1" operator="equal">
      <formula>"Y"</formula>
    </cfRule>
  </conditionalFormatting>
  <pageMargins left="0.75" right="0.75" top="0.5" bottom="0.5" header="0.51181100000000002" footer="0.5"/>
  <pageSetup orientation="landscape" r:id="rId1"/>
  <headerFooter>
    <oddFooter>&amp;C&amp;"Helvetica Neue,Regular"&amp;12&amp;K000000&amp;P</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26"/>
  <sheetViews>
    <sheetView workbookViewId="0">
      <selection activeCell="I26" sqref="I26"/>
    </sheetView>
  </sheetViews>
  <sheetFormatPr defaultColWidth="8.85546875" defaultRowHeight="12.75"/>
  <cols>
    <col min="1" max="1" width="12.85546875" customWidth="1"/>
    <col min="2" max="2" width="12.42578125" customWidth="1"/>
    <col min="3" max="3" width="6" customWidth="1"/>
    <col min="4" max="4" width="7.42578125" customWidth="1"/>
  </cols>
  <sheetData>
    <row r="1" spans="1:5">
      <c r="A1" t="s">
        <v>427</v>
      </c>
      <c r="B1" t="s">
        <v>272</v>
      </c>
      <c r="C1" t="s">
        <v>428</v>
      </c>
      <c r="D1" t="s">
        <v>277</v>
      </c>
      <c r="E1" t="s">
        <v>15</v>
      </c>
    </row>
    <row r="2" spans="1:5">
      <c r="A2" t="s">
        <v>207</v>
      </c>
      <c r="B2" t="s">
        <v>211</v>
      </c>
      <c r="C2">
        <v>3</v>
      </c>
      <c r="D2">
        <v>7.4999999999999997E-2</v>
      </c>
      <c r="E2">
        <f>C2*D2</f>
        <v>0.22499999999999998</v>
      </c>
    </row>
    <row r="3" spans="1:5">
      <c r="A3" t="s">
        <v>207</v>
      </c>
      <c r="B3" t="s">
        <v>429</v>
      </c>
      <c r="C3">
        <v>1</v>
      </c>
      <c r="D3">
        <v>0.39</v>
      </c>
      <c r="E3" s="79">
        <f t="shared" ref="E3:E22" si="0">C3*D3</f>
        <v>0.39</v>
      </c>
    </row>
    <row r="4" spans="1:5">
      <c r="A4" t="s">
        <v>105</v>
      </c>
      <c r="B4">
        <v>4007</v>
      </c>
      <c r="C4">
        <v>2</v>
      </c>
      <c r="D4">
        <v>0.31</v>
      </c>
      <c r="E4" s="79">
        <f t="shared" si="0"/>
        <v>0.62</v>
      </c>
    </row>
    <row r="5" spans="1:5">
      <c r="A5" t="s">
        <v>105</v>
      </c>
      <c r="B5" t="s">
        <v>430</v>
      </c>
      <c r="C5">
        <v>1</v>
      </c>
      <c r="D5">
        <v>0.6</v>
      </c>
      <c r="E5" s="79">
        <f t="shared" si="0"/>
        <v>0.6</v>
      </c>
    </row>
    <row r="6" spans="1:5">
      <c r="A6" t="s">
        <v>145</v>
      </c>
      <c r="B6" t="s">
        <v>431</v>
      </c>
      <c r="C6">
        <v>1</v>
      </c>
      <c r="D6">
        <v>6.5</v>
      </c>
      <c r="E6" s="79">
        <f t="shared" si="0"/>
        <v>6.5</v>
      </c>
    </row>
    <row r="7" spans="1:5">
      <c r="A7" t="s">
        <v>145</v>
      </c>
      <c r="B7" t="s">
        <v>183</v>
      </c>
      <c r="C7">
        <v>1</v>
      </c>
      <c r="D7">
        <v>12</v>
      </c>
      <c r="E7" s="79">
        <f t="shared" si="0"/>
        <v>12</v>
      </c>
    </row>
    <row r="8" spans="1:5">
      <c r="A8" t="s">
        <v>145</v>
      </c>
      <c r="B8" t="s">
        <v>432</v>
      </c>
      <c r="C8">
        <v>1</v>
      </c>
      <c r="D8">
        <v>28</v>
      </c>
      <c r="E8" s="79">
        <f t="shared" si="0"/>
        <v>28</v>
      </c>
    </row>
    <row r="9" spans="1:5">
      <c r="A9" t="s">
        <v>237</v>
      </c>
      <c r="B9" t="s">
        <v>243</v>
      </c>
      <c r="C9">
        <v>1</v>
      </c>
      <c r="D9">
        <v>1.4</v>
      </c>
      <c r="E9" s="79">
        <f t="shared" si="0"/>
        <v>1.4</v>
      </c>
    </row>
    <row r="10" spans="1:5">
      <c r="A10" t="s">
        <v>255</v>
      </c>
      <c r="B10" t="s">
        <v>433</v>
      </c>
      <c r="C10">
        <v>2</v>
      </c>
      <c r="D10">
        <v>3.75</v>
      </c>
      <c r="E10" s="79">
        <f t="shared" si="0"/>
        <v>7.5</v>
      </c>
    </row>
    <row r="11" spans="1:5">
      <c r="A11" t="s">
        <v>255</v>
      </c>
      <c r="B11" t="s">
        <v>187</v>
      </c>
      <c r="C11">
        <v>1</v>
      </c>
      <c r="D11">
        <v>3.75</v>
      </c>
      <c r="E11" s="79">
        <f t="shared" si="0"/>
        <v>3.75</v>
      </c>
    </row>
    <row r="12" spans="1:5">
      <c r="A12" t="s">
        <v>434</v>
      </c>
      <c r="B12" t="s">
        <v>144</v>
      </c>
      <c r="C12">
        <v>1</v>
      </c>
      <c r="D12">
        <v>1.5</v>
      </c>
      <c r="E12" s="79">
        <f t="shared" si="0"/>
        <v>1.5</v>
      </c>
    </row>
    <row r="13" spans="1:5">
      <c r="A13" t="s">
        <v>29</v>
      </c>
      <c r="B13" t="s">
        <v>435</v>
      </c>
      <c r="C13">
        <v>13</v>
      </c>
      <c r="D13">
        <v>0.18</v>
      </c>
      <c r="E13" s="79">
        <f t="shared" si="0"/>
        <v>2.34</v>
      </c>
    </row>
    <row r="14" spans="1:5">
      <c r="A14" t="s">
        <v>29</v>
      </c>
      <c r="B14" t="s">
        <v>36</v>
      </c>
      <c r="C14">
        <v>2</v>
      </c>
      <c r="D14">
        <v>0.4</v>
      </c>
      <c r="E14" s="79">
        <f t="shared" si="0"/>
        <v>0.8</v>
      </c>
    </row>
    <row r="15" spans="1:5">
      <c r="A15" t="s">
        <v>29</v>
      </c>
      <c r="B15" t="s">
        <v>48</v>
      </c>
      <c r="C15">
        <v>1</v>
      </c>
      <c r="D15">
        <v>0.77</v>
      </c>
      <c r="E15" s="79">
        <f t="shared" si="0"/>
        <v>0.77</v>
      </c>
    </row>
    <row r="16" spans="1:5">
      <c r="A16" t="s">
        <v>29</v>
      </c>
      <c r="B16" t="s">
        <v>32</v>
      </c>
      <c r="C16">
        <v>1</v>
      </c>
      <c r="D16">
        <v>3.4</v>
      </c>
      <c r="E16" s="79">
        <f t="shared" si="0"/>
        <v>3.4</v>
      </c>
    </row>
    <row r="17" spans="1:6">
      <c r="A17" t="s">
        <v>95</v>
      </c>
      <c r="B17" t="s">
        <v>436</v>
      </c>
      <c r="C17">
        <v>1</v>
      </c>
      <c r="D17">
        <v>0.48</v>
      </c>
      <c r="E17" s="79">
        <f t="shared" si="0"/>
        <v>0.48</v>
      </c>
    </row>
    <row r="18" spans="1:6">
      <c r="A18" t="s">
        <v>95</v>
      </c>
      <c r="B18" t="s">
        <v>437</v>
      </c>
      <c r="C18">
        <v>1</v>
      </c>
      <c r="D18">
        <v>0.6</v>
      </c>
      <c r="E18" s="79">
        <f t="shared" si="0"/>
        <v>0.6</v>
      </c>
    </row>
    <row r="19" spans="1:6">
      <c r="A19" t="s">
        <v>95</v>
      </c>
      <c r="B19" t="s">
        <v>81</v>
      </c>
      <c r="C19">
        <v>1</v>
      </c>
      <c r="D19">
        <v>0.72</v>
      </c>
      <c r="E19" s="79">
        <f t="shared" si="0"/>
        <v>0.72</v>
      </c>
    </row>
    <row r="20" spans="1:6">
      <c r="A20" t="s">
        <v>438</v>
      </c>
      <c r="B20" t="s">
        <v>23</v>
      </c>
      <c r="C20">
        <v>14</v>
      </c>
      <c r="D20">
        <v>1.38</v>
      </c>
      <c r="E20" s="79">
        <f t="shared" si="0"/>
        <v>19.32</v>
      </c>
    </row>
    <row r="21" spans="1:6">
      <c r="A21" t="s">
        <v>438</v>
      </c>
      <c r="B21" t="s">
        <v>21</v>
      </c>
      <c r="C21">
        <v>9</v>
      </c>
      <c r="D21">
        <v>0.35</v>
      </c>
      <c r="E21" s="79">
        <f t="shared" si="0"/>
        <v>3.15</v>
      </c>
    </row>
    <row r="22" spans="1:6">
      <c r="A22" t="s">
        <v>439</v>
      </c>
      <c r="C22">
        <v>1</v>
      </c>
      <c r="D22">
        <v>41</v>
      </c>
      <c r="E22" s="79">
        <f t="shared" si="0"/>
        <v>41</v>
      </c>
    </row>
    <row r="23" spans="1:6">
      <c r="A23" t="s">
        <v>440</v>
      </c>
      <c r="C23">
        <v>1</v>
      </c>
      <c r="D23">
        <v>10</v>
      </c>
      <c r="E23" s="79">
        <v>10</v>
      </c>
    </row>
    <row r="24" spans="1:6">
      <c r="A24" s="80" t="s">
        <v>346</v>
      </c>
      <c r="E24" s="82">
        <f>SUM(E2:E23)</f>
        <v>145.065</v>
      </c>
    </row>
    <row r="25" spans="1:6">
      <c r="A25" s="81" t="s">
        <v>263</v>
      </c>
      <c r="B25" s="81" t="s">
        <v>27</v>
      </c>
      <c r="C25">
        <v>1</v>
      </c>
      <c r="D25">
        <v>0.3</v>
      </c>
      <c r="E25">
        <v>0.3</v>
      </c>
      <c r="F25" s="81"/>
    </row>
    <row r="26" spans="1:6">
      <c r="A26" s="81" t="s">
        <v>441</v>
      </c>
      <c r="B26" s="81" t="s">
        <v>27</v>
      </c>
      <c r="C26">
        <v>1</v>
      </c>
      <c r="D26">
        <v>7.4999999999999997E-2</v>
      </c>
      <c r="E26">
        <v>7.4999999999999997E-2</v>
      </c>
    </row>
  </sheetData>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55"/>
  <sheetViews>
    <sheetView showGridLines="0" topLeftCell="A25" workbookViewId="0">
      <selection activeCell="D51" sqref="D51"/>
    </sheetView>
  </sheetViews>
  <sheetFormatPr defaultColWidth="8.85546875" defaultRowHeight="12.75" customHeight="1"/>
  <cols>
    <col min="1" max="1" width="13.7109375" style="51" customWidth="1"/>
    <col min="2" max="2" width="17.42578125" style="51" customWidth="1"/>
    <col min="3" max="3" width="11.85546875" style="51" customWidth="1"/>
    <col min="4" max="4" width="6.28515625" style="51" customWidth="1"/>
    <col min="5" max="6" width="8.7109375" style="51" hidden="1" customWidth="1"/>
    <col min="7" max="7" width="8.85546875" style="51" customWidth="1"/>
    <col min="8" max="14" width="8.7109375" style="51" hidden="1" customWidth="1"/>
    <col min="15" max="15" width="8.28515625" style="51" customWidth="1"/>
    <col min="16" max="16" width="8.28515625" style="60" customWidth="1"/>
    <col min="17" max="17" width="8.85546875" style="51" customWidth="1"/>
    <col min="18" max="16384" width="8.85546875" style="51"/>
  </cols>
  <sheetData>
    <row r="1" spans="1:17" ht="12.75" customHeight="1">
      <c r="A1" s="6" t="s">
        <v>272</v>
      </c>
      <c r="B1" s="6" t="s">
        <v>6</v>
      </c>
      <c r="C1" s="6" t="s">
        <v>7</v>
      </c>
      <c r="D1" s="6" t="s">
        <v>273</v>
      </c>
      <c r="E1" s="6" t="s">
        <v>7</v>
      </c>
      <c r="F1" s="6" t="s">
        <v>274</v>
      </c>
      <c r="G1" s="6" t="s">
        <v>275</v>
      </c>
      <c r="H1" s="6" t="s">
        <v>276</v>
      </c>
      <c r="I1" s="6" t="s">
        <v>12</v>
      </c>
      <c r="J1" s="52" t="s">
        <v>4</v>
      </c>
      <c r="K1" s="6" t="s">
        <v>277</v>
      </c>
      <c r="L1" s="52" t="s">
        <v>15</v>
      </c>
      <c r="M1" s="8"/>
      <c r="N1" s="8"/>
      <c r="O1" s="53" t="s">
        <v>277</v>
      </c>
      <c r="P1" s="88"/>
      <c r="Q1" s="88" t="s">
        <v>12</v>
      </c>
    </row>
    <row r="2" spans="1:17" ht="12.75" customHeight="1">
      <c r="A2" s="12" t="s">
        <v>278</v>
      </c>
      <c r="B2" s="6" t="s">
        <v>279</v>
      </c>
      <c r="C2" s="6" t="s">
        <v>280</v>
      </c>
      <c r="D2" s="18"/>
      <c r="E2" s="18"/>
      <c r="F2" s="8"/>
      <c r="G2" s="13">
        <v>7</v>
      </c>
      <c r="H2" s="13">
        <v>0</v>
      </c>
      <c r="I2" s="13">
        <v>0</v>
      </c>
      <c r="J2" s="54">
        <f t="shared" ref="J2:J33" si="0">G2+H2-I2</f>
        <v>7</v>
      </c>
      <c r="K2" s="13">
        <v>129</v>
      </c>
      <c r="L2" s="54">
        <f t="shared" ref="L2:L33" si="1">J2*K2</f>
        <v>903</v>
      </c>
      <c r="M2" s="8"/>
      <c r="N2" s="8"/>
      <c r="O2" s="55"/>
      <c r="P2" s="15"/>
      <c r="Q2" s="60"/>
    </row>
    <row r="3" spans="1:17" ht="12.75" customHeight="1">
      <c r="A3" s="12" t="s">
        <v>278</v>
      </c>
      <c r="B3" s="6" t="s">
        <v>279</v>
      </c>
      <c r="C3" s="6" t="s">
        <v>281</v>
      </c>
      <c r="D3" s="18"/>
      <c r="E3" s="18"/>
      <c r="F3" s="8"/>
      <c r="G3" s="13">
        <v>11</v>
      </c>
      <c r="H3" s="13">
        <v>0</v>
      </c>
      <c r="I3" s="8"/>
      <c r="J3" s="54">
        <f t="shared" si="0"/>
        <v>11</v>
      </c>
      <c r="K3" s="13">
        <v>146</v>
      </c>
      <c r="L3" s="54">
        <f t="shared" si="1"/>
        <v>1606</v>
      </c>
      <c r="M3" s="8"/>
      <c r="N3" s="8"/>
      <c r="O3" s="55"/>
      <c r="P3" s="15"/>
      <c r="Q3" s="60"/>
    </row>
    <row r="4" spans="1:17" ht="12.75" customHeight="1">
      <c r="A4" s="12" t="s">
        <v>185</v>
      </c>
      <c r="B4" s="84" t="s">
        <v>446</v>
      </c>
      <c r="C4" s="12"/>
      <c r="D4" s="18"/>
      <c r="E4" s="18"/>
      <c r="F4" s="8"/>
      <c r="G4" s="13">
        <v>2000</v>
      </c>
      <c r="H4" s="13">
        <v>0</v>
      </c>
      <c r="I4" s="8"/>
      <c r="J4" s="54">
        <f t="shared" si="0"/>
        <v>2000</v>
      </c>
      <c r="K4" s="13">
        <v>850</v>
      </c>
      <c r="L4" s="54">
        <f t="shared" si="1"/>
        <v>1700000</v>
      </c>
      <c r="M4" s="8"/>
      <c r="N4" s="8"/>
      <c r="O4" s="55"/>
      <c r="P4" s="15"/>
      <c r="Q4" s="60"/>
    </row>
    <row r="5" spans="1:17" ht="12.75" customHeight="1">
      <c r="A5" s="12" t="s">
        <v>283</v>
      </c>
      <c r="B5" s="6" t="s">
        <v>284</v>
      </c>
      <c r="C5" s="6" t="s">
        <v>281</v>
      </c>
      <c r="D5" s="8"/>
      <c r="E5" s="8"/>
      <c r="F5" s="8"/>
      <c r="G5" s="13">
        <v>35</v>
      </c>
      <c r="H5" s="13">
        <v>0</v>
      </c>
      <c r="I5" s="8"/>
      <c r="J5" s="54">
        <f t="shared" si="0"/>
        <v>35</v>
      </c>
      <c r="K5" s="13">
        <v>111.73</v>
      </c>
      <c r="L5" s="54">
        <f t="shared" si="1"/>
        <v>3910.55</v>
      </c>
      <c r="M5" s="8"/>
      <c r="N5" s="8"/>
      <c r="O5" s="55"/>
      <c r="P5" s="15"/>
      <c r="Q5" s="60"/>
    </row>
    <row r="6" spans="1:17" ht="12.75" customHeight="1">
      <c r="A6" s="12" t="s">
        <v>283</v>
      </c>
      <c r="B6" s="6" t="s">
        <v>284</v>
      </c>
      <c r="C6" s="6" t="s">
        <v>280</v>
      </c>
      <c r="D6" s="8"/>
      <c r="E6" s="8"/>
      <c r="F6" s="8"/>
      <c r="G6" s="13">
        <v>17</v>
      </c>
      <c r="H6" s="13">
        <v>0</v>
      </c>
      <c r="I6" s="8"/>
      <c r="J6" s="54">
        <f t="shared" si="0"/>
        <v>17</v>
      </c>
      <c r="K6" s="13">
        <v>95.2</v>
      </c>
      <c r="L6" s="54">
        <f t="shared" si="1"/>
        <v>1618.4</v>
      </c>
      <c r="M6" s="18"/>
      <c r="N6" s="31"/>
      <c r="O6" s="55"/>
      <c r="P6" s="15"/>
      <c r="Q6" s="60"/>
    </row>
    <row r="7" spans="1:17" ht="12.75" customHeight="1">
      <c r="A7" s="12" t="s">
        <v>285</v>
      </c>
      <c r="B7" s="6" t="s">
        <v>286</v>
      </c>
      <c r="C7" s="18"/>
      <c r="D7" s="18"/>
      <c r="E7" s="18"/>
      <c r="F7" s="8"/>
      <c r="G7" s="13">
        <v>18</v>
      </c>
      <c r="H7" s="13">
        <v>0</v>
      </c>
      <c r="I7" s="8"/>
      <c r="J7" s="54">
        <f t="shared" si="0"/>
        <v>18</v>
      </c>
      <c r="K7" s="13">
        <v>28</v>
      </c>
      <c r="L7" s="54">
        <f t="shared" si="1"/>
        <v>504</v>
      </c>
      <c r="M7" s="8"/>
      <c r="N7" s="18"/>
      <c r="O7" s="55"/>
      <c r="P7" s="15"/>
      <c r="Q7" s="60"/>
    </row>
    <row r="8" spans="1:17" ht="12.75" customHeight="1">
      <c r="A8" s="12" t="s">
        <v>278</v>
      </c>
      <c r="B8" s="6" t="s">
        <v>287</v>
      </c>
      <c r="C8" s="12" t="s">
        <v>288</v>
      </c>
      <c r="D8" s="12" t="s">
        <v>289</v>
      </c>
      <c r="E8" s="18"/>
      <c r="F8" s="8"/>
      <c r="G8" s="13">
        <v>270</v>
      </c>
      <c r="H8" s="13">
        <v>0</v>
      </c>
      <c r="I8" s="13">
        <v>0</v>
      </c>
      <c r="J8" s="54">
        <f t="shared" si="0"/>
        <v>270</v>
      </c>
      <c r="K8" s="13">
        <v>30.47</v>
      </c>
      <c r="L8" s="54">
        <f t="shared" si="1"/>
        <v>8226.9</v>
      </c>
      <c r="M8" s="18"/>
      <c r="N8" s="18"/>
      <c r="O8" s="55"/>
      <c r="P8" s="15"/>
      <c r="Q8" s="60"/>
    </row>
    <row r="9" spans="1:17" ht="12.75" customHeight="1">
      <c r="A9" s="12" t="s">
        <v>282</v>
      </c>
      <c r="B9" s="6" t="s">
        <v>287</v>
      </c>
      <c r="C9" s="12" t="s">
        <v>290</v>
      </c>
      <c r="D9" s="12" t="s">
        <v>282</v>
      </c>
      <c r="E9" s="8"/>
      <c r="F9" s="8"/>
      <c r="G9" s="13">
        <v>205</v>
      </c>
      <c r="H9" s="13">
        <v>0</v>
      </c>
      <c r="I9" s="13">
        <v>0</v>
      </c>
      <c r="J9" s="54">
        <f t="shared" si="0"/>
        <v>205</v>
      </c>
      <c r="K9" s="13">
        <v>42.32</v>
      </c>
      <c r="L9" s="54">
        <f t="shared" si="1"/>
        <v>8675.6</v>
      </c>
      <c r="M9" s="8"/>
      <c r="N9" s="8"/>
      <c r="O9" s="55"/>
      <c r="P9" s="15"/>
      <c r="Q9" s="60"/>
    </row>
    <row r="10" spans="1:17" ht="12.75" customHeight="1">
      <c r="A10" s="12" t="s">
        <v>283</v>
      </c>
      <c r="B10" s="6" t="s">
        <v>287</v>
      </c>
      <c r="C10" s="12" t="s">
        <v>291</v>
      </c>
      <c r="D10" s="12" t="s">
        <v>292</v>
      </c>
      <c r="E10" s="8"/>
      <c r="F10" s="8"/>
      <c r="G10" s="13">
        <v>257</v>
      </c>
      <c r="H10" s="13">
        <v>0</v>
      </c>
      <c r="I10" s="13">
        <v>0</v>
      </c>
      <c r="J10" s="54">
        <f t="shared" si="0"/>
        <v>257</v>
      </c>
      <c r="K10" s="13">
        <v>22.18</v>
      </c>
      <c r="L10" s="54">
        <f t="shared" si="1"/>
        <v>5700.26</v>
      </c>
      <c r="M10" s="8"/>
      <c r="N10" s="8"/>
      <c r="O10" s="55"/>
      <c r="P10" s="15"/>
      <c r="Q10" s="60"/>
    </row>
    <row r="11" spans="1:17" ht="12.75" customHeight="1">
      <c r="A11" s="12" t="s">
        <v>285</v>
      </c>
      <c r="B11" s="6" t="s">
        <v>287</v>
      </c>
      <c r="C11" s="12" t="s">
        <v>293</v>
      </c>
      <c r="D11" s="12" t="s">
        <v>285</v>
      </c>
      <c r="E11" s="8"/>
      <c r="F11" s="8"/>
      <c r="G11" s="13">
        <v>317</v>
      </c>
      <c r="H11" s="13">
        <v>0</v>
      </c>
      <c r="I11" s="13">
        <v>0</v>
      </c>
      <c r="J11" s="54">
        <f t="shared" si="0"/>
        <v>317</v>
      </c>
      <c r="K11" s="13">
        <v>4.99</v>
      </c>
      <c r="L11" s="54">
        <f t="shared" si="1"/>
        <v>1581.8300000000002</v>
      </c>
      <c r="M11" s="8"/>
      <c r="N11" s="8"/>
      <c r="O11" s="55"/>
      <c r="P11" s="15"/>
      <c r="Q11" s="60"/>
    </row>
    <row r="12" spans="1:17" ht="12.75" customHeight="1">
      <c r="A12" s="12" t="s">
        <v>29</v>
      </c>
      <c r="B12" s="6" t="s">
        <v>294</v>
      </c>
      <c r="C12" s="6" t="s">
        <v>295</v>
      </c>
      <c r="D12" s="8"/>
      <c r="E12" s="8"/>
      <c r="F12" s="8"/>
      <c r="G12" s="13">
        <v>0</v>
      </c>
      <c r="H12" s="13">
        <v>0</v>
      </c>
      <c r="I12" s="8"/>
      <c r="J12" s="54">
        <f t="shared" si="0"/>
        <v>0</v>
      </c>
      <c r="K12" s="13">
        <v>0.65</v>
      </c>
      <c r="L12" s="54">
        <f t="shared" si="1"/>
        <v>0</v>
      </c>
      <c r="M12" s="8"/>
      <c r="N12" s="8"/>
      <c r="O12" s="55"/>
      <c r="P12" s="15"/>
      <c r="Q12" s="60"/>
    </row>
    <row r="13" spans="1:17" ht="12.75" customHeight="1">
      <c r="A13" s="12" t="s">
        <v>29</v>
      </c>
      <c r="B13" s="6" t="s">
        <v>296</v>
      </c>
      <c r="C13" s="6" t="s">
        <v>297</v>
      </c>
      <c r="D13" s="6" t="s">
        <v>298</v>
      </c>
      <c r="E13" s="18"/>
      <c r="F13" s="18"/>
      <c r="G13" s="13">
        <v>50</v>
      </c>
      <c r="H13" s="13">
        <v>0</v>
      </c>
      <c r="I13" s="13">
        <v>0</v>
      </c>
      <c r="J13" s="54">
        <f t="shared" si="0"/>
        <v>50</v>
      </c>
      <c r="K13" s="13">
        <v>3</v>
      </c>
      <c r="L13" s="54">
        <f t="shared" si="1"/>
        <v>150</v>
      </c>
      <c r="M13" s="8"/>
      <c r="N13" s="8"/>
      <c r="O13" s="55"/>
      <c r="P13" s="15"/>
      <c r="Q13" s="60"/>
    </row>
    <row r="14" spans="1:17" ht="12.75" customHeight="1">
      <c r="A14" s="12" t="s">
        <v>29</v>
      </c>
      <c r="B14" s="6" t="s">
        <v>299</v>
      </c>
      <c r="C14" s="6" t="s">
        <v>300</v>
      </c>
      <c r="D14" s="8"/>
      <c r="E14" s="8"/>
      <c r="F14" s="8"/>
      <c r="G14" s="13">
        <v>1000</v>
      </c>
      <c r="H14" s="13">
        <v>0</v>
      </c>
      <c r="I14" s="13">
        <v>0</v>
      </c>
      <c r="J14" s="54">
        <f t="shared" si="0"/>
        <v>1000</v>
      </c>
      <c r="K14" s="13">
        <v>3.75</v>
      </c>
      <c r="L14" s="54">
        <f t="shared" si="1"/>
        <v>3750</v>
      </c>
      <c r="M14" s="8"/>
      <c r="N14" s="8"/>
      <c r="O14" s="55"/>
      <c r="P14" s="15"/>
      <c r="Q14" s="60"/>
    </row>
    <row r="15" spans="1:17" ht="12.75" customHeight="1">
      <c r="A15" s="12" t="s">
        <v>29</v>
      </c>
      <c r="B15" s="6" t="s">
        <v>301</v>
      </c>
      <c r="C15" s="6" t="s">
        <v>300</v>
      </c>
      <c r="D15" s="18"/>
      <c r="E15" s="18"/>
      <c r="F15" s="18"/>
      <c r="G15" s="13">
        <v>0</v>
      </c>
      <c r="H15" s="13">
        <v>0</v>
      </c>
      <c r="I15" s="13">
        <v>0</v>
      </c>
      <c r="J15" s="54">
        <f t="shared" si="0"/>
        <v>0</v>
      </c>
      <c r="K15" s="13">
        <v>5.5</v>
      </c>
      <c r="L15" s="54">
        <f t="shared" si="1"/>
        <v>0</v>
      </c>
      <c r="M15" s="8"/>
      <c r="N15" s="8"/>
      <c r="O15" s="55"/>
      <c r="P15" s="15"/>
      <c r="Q15" s="60"/>
    </row>
    <row r="16" spans="1:17" ht="12.75" customHeight="1">
      <c r="A16" s="12" t="s">
        <v>29</v>
      </c>
      <c r="B16" s="6" t="s">
        <v>302</v>
      </c>
      <c r="C16" s="6" t="s">
        <v>295</v>
      </c>
      <c r="D16" s="8"/>
      <c r="E16" s="8"/>
      <c r="F16" s="8"/>
      <c r="G16" s="13">
        <v>3500</v>
      </c>
      <c r="H16" s="13">
        <v>0</v>
      </c>
      <c r="I16" s="13">
        <v>0</v>
      </c>
      <c r="J16" s="54">
        <f t="shared" si="0"/>
        <v>3500</v>
      </c>
      <c r="K16" s="13">
        <v>0.65</v>
      </c>
      <c r="L16" s="54">
        <f t="shared" si="1"/>
        <v>2275</v>
      </c>
      <c r="M16" s="8"/>
      <c r="N16" s="8"/>
      <c r="O16" s="55"/>
      <c r="P16" s="15"/>
      <c r="Q16" s="60"/>
    </row>
    <row r="17" spans="1:17" ht="12.75" customHeight="1">
      <c r="A17" s="12" t="s">
        <v>29</v>
      </c>
      <c r="B17" s="6" t="s">
        <v>303</v>
      </c>
      <c r="C17" s="6" t="s">
        <v>295</v>
      </c>
      <c r="D17" s="8"/>
      <c r="E17" s="8"/>
      <c r="F17" s="8"/>
      <c r="G17" s="8"/>
      <c r="H17" s="13">
        <v>0</v>
      </c>
      <c r="I17" s="13">
        <v>0</v>
      </c>
      <c r="J17" s="54">
        <f t="shared" si="0"/>
        <v>0</v>
      </c>
      <c r="K17" s="13">
        <v>0.65</v>
      </c>
      <c r="L17" s="54">
        <f t="shared" si="1"/>
        <v>0</v>
      </c>
      <c r="M17" s="8"/>
      <c r="N17" s="8"/>
      <c r="O17" s="55"/>
      <c r="P17" s="15"/>
      <c r="Q17" s="60"/>
    </row>
    <row r="18" spans="1:17" ht="12.75" customHeight="1">
      <c r="A18" s="12" t="s">
        <v>207</v>
      </c>
      <c r="B18" s="6" t="s">
        <v>304</v>
      </c>
      <c r="C18" s="6" t="s">
        <v>305</v>
      </c>
      <c r="D18" s="8"/>
      <c r="E18" s="18"/>
      <c r="F18" s="8"/>
      <c r="G18" s="13">
        <v>1000</v>
      </c>
      <c r="H18" s="13">
        <v>0</v>
      </c>
      <c r="I18" s="13">
        <v>0</v>
      </c>
      <c r="J18" s="54">
        <f t="shared" si="0"/>
        <v>1000</v>
      </c>
      <c r="K18" s="13">
        <v>1.2</v>
      </c>
      <c r="L18" s="54">
        <f t="shared" si="1"/>
        <v>1200</v>
      </c>
      <c r="M18" s="8"/>
      <c r="N18" s="8"/>
      <c r="O18" s="55"/>
      <c r="P18" s="15"/>
      <c r="Q18" s="60"/>
    </row>
    <row r="19" spans="1:17" ht="12.75" customHeight="1">
      <c r="A19" s="12" t="s">
        <v>207</v>
      </c>
      <c r="B19" s="6" t="s">
        <v>306</v>
      </c>
      <c r="C19" s="6" t="s">
        <v>297</v>
      </c>
      <c r="D19" s="8"/>
      <c r="E19" s="8"/>
      <c r="F19" s="8"/>
      <c r="G19" s="13">
        <v>1000</v>
      </c>
      <c r="H19" s="8"/>
      <c r="I19" s="13">
        <v>0</v>
      </c>
      <c r="J19" s="54">
        <f t="shared" si="0"/>
        <v>1000</v>
      </c>
      <c r="K19" s="13">
        <v>0.75</v>
      </c>
      <c r="L19" s="54">
        <f t="shared" si="1"/>
        <v>750</v>
      </c>
      <c r="M19" s="8"/>
      <c r="N19" s="8"/>
      <c r="O19" s="55"/>
      <c r="P19" s="15"/>
      <c r="Q19" s="60"/>
    </row>
    <row r="20" spans="1:17" ht="12.75" customHeight="1">
      <c r="A20" s="12" t="s">
        <v>207</v>
      </c>
      <c r="B20" s="6" t="s">
        <v>230</v>
      </c>
      <c r="C20" s="6" t="s">
        <v>305</v>
      </c>
      <c r="D20" s="6" t="s">
        <v>223</v>
      </c>
      <c r="E20" s="8"/>
      <c r="F20" s="8"/>
      <c r="G20" s="13">
        <v>5000</v>
      </c>
      <c r="H20" s="13">
        <v>0</v>
      </c>
      <c r="I20" s="13">
        <v>0</v>
      </c>
      <c r="J20" s="54">
        <f t="shared" si="0"/>
        <v>5000</v>
      </c>
      <c r="K20" s="13">
        <v>0.18</v>
      </c>
      <c r="L20" s="54">
        <f t="shared" si="1"/>
        <v>900</v>
      </c>
      <c r="M20" s="8"/>
      <c r="N20" s="8"/>
      <c r="O20" s="55"/>
      <c r="P20" s="15"/>
      <c r="Q20" s="60"/>
    </row>
    <row r="21" spans="1:17" ht="12.75" customHeight="1">
      <c r="A21" s="12" t="s">
        <v>207</v>
      </c>
      <c r="B21" s="6" t="s">
        <v>307</v>
      </c>
      <c r="C21" s="6" t="s">
        <v>305</v>
      </c>
      <c r="D21" s="6" t="s">
        <v>223</v>
      </c>
      <c r="E21" s="8"/>
      <c r="F21" s="8"/>
      <c r="G21" s="13">
        <v>5000</v>
      </c>
      <c r="H21" s="13">
        <v>0</v>
      </c>
      <c r="I21" s="13">
        <v>0</v>
      </c>
      <c r="J21" s="54">
        <f t="shared" si="0"/>
        <v>5000</v>
      </c>
      <c r="K21" s="13">
        <v>0.22</v>
      </c>
      <c r="L21" s="54">
        <f t="shared" si="1"/>
        <v>1100</v>
      </c>
      <c r="M21" s="8"/>
      <c r="N21" s="8"/>
      <c r="O21" s="55"/>
      <c r="P21" s="15"/>
      <c r="Q21" s="60"/>
    </row>
    <row r="22" spans="1:17" ht="12.75" customHeight="1">
      <c r="A22" s="12" t="s">
        <v>207</v>
      </c>
      <c r="B22" s="6" t="s">
        <v>208</v>
      </c>
      <c r="C22" s="6" t="s">
        <v>305</v>
      </c>
      <c r="D22" s="6" t="s">
        <v>223</v>
      </c>
      <c r="E22" s="8"/>
      <c r="F22" s="8"/>
      <c r="G22" s="13">
        <v>0</v>
      </c>
      <c r="H22" s="13">
        <v>0</v>
      </c>
      <c r="I22" s="13">
        <v>0</v>
      </c>
      <c r="J22" s="54">
        <f t="shared" si="0"/>
        <v>0</v>
      </c>
      <c r="K22" s="13">
        <v>0.18</v>
      </c>
      <c r="L22" s="54">
        <f t="shared" si="1"/>
        <v>0</v>
      </c>
      <c r="M22" s="8"/>
      <c r="N22" s="8"/>
      <c r="O22" s="55"/>
      <c r="P22" s="15"/>
      <c r="Q22" s="60"/>
    </row>
    <row r="23" spans="1:17" ht="12.75" customHeight="1">
      <c r="A23" s="12" t="s">
        <v>207</v>
      </c>
      <c r="B23" s="6" t="s">
        <v>225</v>
      </c>
      <c r="C23" s="6" t="s">
        <v>305</v>
      </c>
      <c r="D23" s="6" t="s">
        <v>223</v>
      </c>
      <c r="E23" s="8"/>
      <c r="F23" s="8"/>
      <c r="G23" s="13">
        <v>5000</v>
      </c>
      <c r="H23" s="13">
        <v>0</v>
      </c>
      <c r="I23" s="13">
        <v>0</v>
      </c>
      <c r="J23" s="54">
        <f t="shared" si="0"/>
        <v>5000</v>
      </c>
      <c r="K23" s="13">
        <v>0.18</v>
      </c>
      <c r="L23" s="54">
        <f t="shared" si="1"/>
        <v>900</v>
      </c>
      <c r="M23" s="8"/>
      <c r="N23" s="8"/>
      <c r="O23" s="55"/>
      <c r="P23" s="15"/>
      <c r="Q23" s="60"/>
    </row>
    <row r="24" spans="1:17" ht="12.75" customHeight="1">
      <c r="A24" s="12" t="s">
        <v>207</v>
      </c>
      <c r="B24" s="6" t="s">
        <v>219</v>
      </c>
      <c r="C24" s="6" t="s">
        <v>305</v>
      </c>
      <c r="D24" s="6" t="s">
        <v>223</v>
      </c>
      <c r="E24" s="8"/>
      <c r="F24" s="8"/>
      <c r="G24" s="13">
        <v>5000</v>
      </c>
      <c r="H24" s="13">
        <v>0</v>
      </c>
      <c r="I24" s="13">
        <v>0</v>
      </c>
      <c r="J24" s="54">
        <f t="shared" si="0"/>
        <v>5000</v>
      </c>
      <c r="K24" s="13">
        <v>0.18</v>
      </c>
      <c r="L24" s="54">
        <f t="shared" si="1"/>
        <v>900</v>
      </c>
      <c r="M24" s="8"/>
      <c r="N24" s="8"/>
      <c r="O24" s="55"/>
      <c r="P24" s="15"/>
      <c r="Q24" s="60"/>
    </row>
    <row r="25" spans="1:17" ht="12.75" customHeight="1">
      <c r="A25" s="12" t="s">
        <v>207</v>
      </c>
      <c r="B25" s="6" t="s">
        <v>216</v>
      </c>
      <c r="C25" s="6" t="s">
        <v>305</v>
      </c>
      <c r="D25" s="6" t="s">
        <v>223</v>
      </c>
      <c r="E25" s="8"/>
      <c r="F25" s="8"/>
      <c r="G25" s="13">
        <v>5000</v>
      </c>
      <c r="H25" s="13">
        <v>0</v>
      </c>
      <c r="I25" s="13">
        <v>0</v>
      </c>
      <c r="J25" s="54">
        <f t="shared" si="0"/>
        <v>5000</v>
      </c>
      <c r="K25" s="13">
        <v>0.18</v>
      </c>
      <c r="L25" s="54">
        <f t="shared" si="1"/>
        <v>900</v>
      </c>
      <c r="M25" s="8"/>
      <c r="N25" s="8"/>
      <c r="O25" s="55"/>
      <c r="P25" s="15"/>
      <c r="Q25" s="60"/>
    </row>
    <row r="26" spans="1:17" ht="12.75" customHeight="1">
      <c r="A26" s="12" t="s">
        <v>207</v>
      </c>
      <c r="B26" s="6" t="s">
        <v>308</v>
      </c>
      <c r="C26" s="6" t="s">
        <v>309</v>
      </c>
      <c r="D26" s="6" t="s">
        <v>223</v>
      </c>
      <c r="E26" s="8"/>
      <c r="F26" s="8"/>
      <c r="G26" s="13">
        <v>5000</v>
      </c>
      <c r="H26" s="13">
        <v>0</v>
      </c>
      <c r="I26" s="13">
        <v>0</v>
      </c>
      <c r="J26" s="54">
        <f t="shared" si="0"/>
        <v>5000</v>
      </c>
      <c r="K26" s="13">
        <v>0.2</v>
      </c>
      <c r="L26" s="54">
        <f t="shared" si="1"/>
        <v>1000</v>
      </c>
      <c r="M26" s="8"/>
      <c r="N26" s="8"/>
      <c r="O26" s="55"/>
      <c r="P26" s="15"/>
      <c r="Q26" s="60"/>
    </row>
    <row r="27" spans="1:17" ht="12.75" customHeight="1">
      <c r="A27" s="12" t="s">
        <v>207</v>
      </c>
      <c r="B27" s="6" t="s">
        <v>310</v>
      </c>
      <c r="C27" s="6" t="s">
        <v>309</v>
      </c>
      <c r="D27" s="6" t="s">
        <v>223</v>
      </c>
      <c r="E27" s="8"/>
      <c r="F27" s="8"/>
      <c r="G27" s="13">
        <v>5000</v>
      </c>
      <c r="H27" s="13">
        <v>0</v>
      </c>
      <c r="I27" s="13">
        <v>0</v>
      </c>
      <c r="J27" s="54">
        <f t="shared" si="0"/>
        <v>5000</v>
      </c>
      <c r="K27" s="13">
        <v>0.2</v>
      </c>
      <c r="L27" s="54">
        <f t="shared" si="1"/>
        <v>1000</v>
      </c>
      <c r="M27" s="8"/>
      <c r="N27" s="8"/>
      <c r="O27" s="55"/>
      <c r="P27" s="15"/>
      <c r="Q27" s="60"/>
    </row>
    <row r="28" spans="1:17" ht="12.75" customHeight="1">
      <c r="A28" s="12" t="s">
        <v>207</v>
      </c>
      <c r="B28" s="6" t="s">
        <v>311</v>
      </c>
      <c r="C28" s="6" t="s">
        <v>309</v>
      </c>
      <c r="D28" s="6" t="s">
        <v>312</v>
      </c>
      <c r="E28" s="8"/>
      <c r="F28" s="8"/>
      <c r="G28" s="13">
        <v>40</v>
      </c>
      <c r="H28" s="13">
        <v>0</v>
      </c>
      <c r="I28" s="13">
        <v>0</v>
      </c>
      <c r="J28" s="54">
        <f t="shared" si="0"/>
        <v>40</v>
      </c>
      <c r="K28" s="13">
        <v>1.35</v>
      </c>
      <c r="L28" s="54">
        <f t="shared" si="1"/>
        <v>54</v>
      </c>
      <c r="M28" s="8"/>
      <c r="N28" s="8"/>
      <c r="O28" s="55"/>
      <c r="P28" s="15"/>
      <c r="Q28" s="60"/>
    </row>
    <row r="29" spans="1:17" ht="12.75" customHeight="1">
      <c r="A29" s="12" t="s">
        <v>105</v>
      </c>
      <c r="B29" s="6" t="s">
        <v>313</v>
      </c>
      <c r="C29" s="6" t="s">
        <v>314</v>
      </c>
      <c r="D29" s="8"/>
      <c r="E29" s="8"/>
      <c r="F29" s="8"/>
      <c r="G29" s="13">
        <v>0</v>
      </c>
      <c r="H29" s="13">
        <v>0</v>
      </c>
      <c r="I29" s="13">
        <v>0</v>
      </c>
      <c r="J29" s="54">
        <f t="shared" si="0"/>
        <v>0</v>
      </c>
      <c r="K29" s="13">
        <v>0.85</v>
      </c>
      <c r="L29" s="54">
        <f t="shared" si="1"/>
        <v>0</v>
      </c>
      <c r="M29" s="8"/>
      <c r="N29" s="8"/>
      <c r="O29" s="55"/>
      <c r="P29" s="15"/>
      <c r="Q29" s="60"/>
    </row>
    <row r="30" spans="1:17" ht="12.75" customHeight="1">
      <c r="A30" s="12" t="s">
        <v>105</v>
      </c>
      <c r="B30" s="13">
        <v>4148</v>
      </c>
      <c r="C30" s="6" t="s">
        <v>309</v>
      </c>
      <c r="D30" s="8"/>
      <c r="E30" s="8"/>
      <c r="F30" s="8"/>
      <c r="G30" s="13">
        <v>15000</v>
      </c>
      <c r="H30" s="13">
        <v>0</v>
      </c>
      <c r="I30" s="13">
        <v>0</v>
      </c>
      <c r="J30" s="54">
        <f t="shared" si="0"/>
        <v>15000</v>
      </c>
      <c r="K30" s="13">
        <v>0.23499999999999999</v>
      </c>
      <c r="L30" s="54">
        <f t="shared" si="1"/>
        <v>3525</v>
      </c>
      <c r="M30" s="8"/>
      <c r="N30" s="8"/>
      <c r="O30" s="55"/>
      <c r="P30" s="15"/>
      <c r="Q30" s="60"/>
    </row>
    <row r="31" spans="1:17" ht="12.75" customHeight="1">
      <c r="A31" s="12" t="s">
        <v>105</v>
      </c>
      <c r="B31" s="13">
        <v>4007</v>
      </c>
      <c r="C31" s="6" t="s">
        <v>309</v>
      </c>
      <c r="D31" s="8"/>
      <c r="E31" s="8"/>
      <c r="F31" s="8"/>
      <c r="G31" s="13">
        <v>0</v>
      </c>
      <c r="H31" s="13">
        <v>0</v>
      </c>
      <c r="I31" s="13">
        <v>0</v>
      </c>
      <c r="J31" s="54">
        <f t="shared" si="0"/>
        <v>0</v>
      </c>
      <c r="K31" s="13">
        <v>0.25</v>
      </c>
      <c r="L31" s="54">
        <f t="shared" si="1"/>
        <v>0</v>
      </c>
      <c r="M31" s="8"/>
      <c r="N31" s="8"/>
      <c r="O31" s="55"/>
      <c r="P31" s="15"/>
      <c r="Q31" s="60"/>
    </row>
    <row r="32" spans="1:17" ht="12.75" customHeight="1">
      <c r="A32" s="12" t="s">
        <v>315</v>
      </c>
      <c r="B32" s="6" t="s">
        <v>316</v>
      </c>
      <c r="C32" s="6" t="s">
        <v>317</v>
      </c>
      <c r="D32" s="8"/>
      <c r="E32" s="8"/>
      <c r="F32" s="8"/>
      <c r="G32" s="13">
        <v>1300</v>
      </c>
      <c r="H32" s="13">
        <v>0</v>
      </c>
      <c r="I32" s="13">
        <v>0</v>
      </c>
      <c r="J32" s="54">
        <f t="shared" si="0"/>
        <v>1300</v>
      </c>
      <c r="K32" s="13">
        <v>0.46</v>
      </c>
      <c r="L32" s="54">
        <f t="shared" si="1"/>
        <v>598</v>
      </c>
      <c r="M32" s="8"/>
      <c r="N32" s="8"/>
      <c r="O32" s="55"/>
      <c r="P32" s="15"/>
      <c r="Q32" s="60"/>
    </row>
    <row r="33" spans="1:17" ht="12.75" customHeight="1">
      <c r="A33" s="12" t="s">
        <v>315</v>
      </c>
      <c r="B33" s="6" t="s">
        <v>318</v>
      </c>
      <c r="C33" s="6" t="s">
        <v>309</v>
      </c>
      <c r="D33" s="8"/>
      <c r="E33" s="8"/>
      <c r="F33" s="8"/>
      <c r="G33" s="13">
        <v>0</v>
      </c>
      <c r="H33" s="13">
        <v>0</v>
      </c>
      <c r="I33" s="13">
        <v>0</v>
      </c>
      <c r="J33" s="54">
        <f t="shared" si="0"/>
        <v>0</v>
      </c>
      <c r="K33" s="13">
        <v>0.85</v>
      </c>
      <c r="L33" s="54">
        <f t="shared" si="1"/>
        <v>0</v>
      </c>
      <c r="M33" s="17"/>
      <c r="N33" s="8"/>
      <c r="O33" s="56">
        <v>0</v>
      </c>
      <c r="P33" s="89"/>
      <c r="Q33" s="60"/>
    </row>
    <row r="34" spans="1:17" ht="12.75" customHeight="1">
      <c r="A34" s="12" t="s">
        <v>315</v>
      </c>
      <c r="B34" s="6" t="s">
        <v>319</v>
      </c>
      <c r="C34" s="6" t="s">
        <v>320</v>
      </c>
      <c r="D34" s="8"/>
      <c r="E34" s="8"/>
      <c r="F34" s="8"/>
      <c r="G34" s="13">
        <v>300</v>
      </c>
      <c r="H34" s="13">
        <v>0</v>
      </c>
      <c r="I34" s="13">
        <v>0</v>
      </c>
      <c r="J34" s="54">
        <f t="shared" ref="J34:J54" si="2">G34+H34-I34</f>
        <v>300</v>
      </c>
      <c r="K34" s="13">
        <v>3.5</v>
      </c>
      <c r="L34" s="54">
        <f t="shared" ref="L34:L54" si="3">J34*K34</f>
        <v>1050</v>
      </c>
      <c r="M34" s="8"/>
      <c r="N34" s="8"/>
      <c r="O34" s="55"/>
      <c r="P34" s="15"/>
      <c r="Q34" s="60"/>
    </row>
    <row r="35" spans="1:17" ht="12.75" customHeight="1">
      <c r="A35" s="12" t="s">
        <v>315</v>
      </c>
      <c r="B35" s="6" t="s">
        <v>321</v>
      </c>
      <c r="C35" s="6" t="s">
        <v>309</v>
      </c>
      <c r="D35" s="8"/>
      <c r="E35" s="8"/>
      <c r="F35" s="8"/>
      <c r="G35" s="86">
        <v>1000</v>
      </c>
      <c r="H35" s="13">
        <v>0</v>
      </c>
      <c r="I35" s="13">
        <v>0</v>
      </c>
      <c r="J35" s="54">
        <f t="shared" si="2"/>
        <v>1000</v>
      </c>
      <c r="K35" s="13">
        <v>0.85</v>
      </c>
      <c r="L35" s="54">
        <f t="shared" si="3"/>
        <v>850</v>
      </c>
      <c r="M35" s="8"/>
      <c r="N35" s="8"/>
      <c r="O35" s="55"/>
      <c r="P35" s="15"/>
      <c r="Q35" s="60"/>
    </row>
    <row r="36" spans="1:17" ht="12.75" customHeight="1">
      <c r="A36" s="12" t="s">
        <v>71</v>
      </c>
      <c r="B36" s="6" t="s">
        <v>322</v>
      </c>
      <c r="C36" s="6" t="s">
        <v>320</v>
      </c>
      <c r="D36" s="8"/>
      <c r="E36" s="8"/>
      <c r="F36" s="8"/>
      <c r="G36" s="13">
        <v>40</v>
      </c>
      <c r="H36" s="13">
        <v>0</v>
      </c>
      <c r="I36" s="13">
        <v>0</v>
      </c>
      <c r="J36" s="54">
        <f t="shared" si="2"/>
        <v>40</v>
      </c>
      <c r="K36" s="13">
        <v>5.5</v>
      </c>
      <c r="L36" s="54">
        <f t="shared" si="3"/>
        <v>220</v>
      </c>
      <c r="M36" s="8"/>
      <c r="N36" s="8"/>
      <c r="O36" s="55"/>
      <c r="P36" s="15"/>
      <c r="Q36" s="60"/>
    </row>
    <row r="37" spans="1:17" ht="12.75" customHeight="1">
      <c r="A37" s="12" t="s">
        <v>203</v>
      </c>
      <c r="B37" s="6" t="s">
        <v>323</v>
      </c>
      <c r="C37" s="6" t="s">
        <v>309</v>
      </c>
      <c r="D37" s="6" t="s">
        <v>280</v>
      </c>
      <c r="E37" s="8"/>
      <c r="F37" s="8"/>
      <c r="G37" s="85">
        <v>500</v>
      </c>
      <c r="H37" s="13">
        <v>0</v>
      </c>
      <c r="I37" s="13">
        <v>0</v>
      </c>
      <c r="J37" s="54">
        <f t="shared" si="2"/>
        <v>500</v>
      </c>
      <c r="K37" s="13">
        <v>0.6</v>
      </c>
      <c r="L37" s="54">
        <f t="shared" si="3"/>
        <v>300</v>
      </c>
      <c r="M37" s="8"/>
      <c r="N37" s="8"/>
      <c r="O37" s="55">
        <v>500</v>
      </c>
      <c r="P37" s="15"/>
      <c r="Q37" s="60"/>
    </row>
    <row r="38" spans="1:17" ht="12.75" customHeight="1">
      <c r="A38" s="12" t="s">
        <v>203</v>
      </c>
      <c r="B38" s="6" t="s">
        <v>324</v>
      </c>
      <c r="C38" s="6" t="s">
        <v>309</v>
      </c>
      <c r="D38" s="6" t="s">
        <v>281</v>
      </c>
      <c r="E38" s="8"/>
      <c r="F38" s="8"/>
      <c r="G38" s="13">
        <v>1000</v>
      </c>
      <c r="H38" s="13">
        <v>0</v>
      </c>
      <c r="I38" s="13">
        <v>0</v>
      </c>
      <c r="J38" s="54">
        <f t="shared" si="2"/>
        <v>1000</v>
      </c>
      <c r="K38" s="13">
        <v>0.6</v>
      </c>
      <c r="L38" s="54">
        <f t="shared" si="3"/>
        <v>600</v>
      </c>
      <c r="M38" s="8"/>
      <c r="N38" s="8"/>
      <c r="O38" s="55">
        <v>100</v>
      </c>
      <c r="P38" s="15"/>
      <c r="Q38" s="60"/>
    </row>
    <row r="39" spans="1:17" ht="12.75" customHeight="1">
      <c r="A39" s="12" t="s">
        <v>203</v>
      </c>
      <c r="B39" s="6" t="s">
        <v>324</v>
      </c>
      <c r="C39" s="6" t="s">
        <v>309</v>
      </c>
      <c r="D39" s="6" t="s">
        <v>325</v>
      </c>
      <c r="E39" s="8"/>
      <c r="F39" s="8"/>
      <c r="G39" s="13">
        <v>1000</v>
      </c>
      <c r="H39" s="13">
        <v>0</v>
      </c>
      <c r="I39" s="13">
        <v>0</v>
      </c>
      <c r="J39" s="54">
        <f t="shared" si="2"/>
        <v>1000</v>
      </c>
      <c r="K39" s="13">
        <v>0.6</v>
      </c>
      <c r="L39" s="54">
        <f t="shared" si="3"/>
        <v>600</v>
      </c>
      <c r="M39" s="8"/>
      <c r="N39" s="8"/>
      <c r="O39" s="55">
        <v>100</v>
      </c>
      <c r="P39" s="15"/>
      <c r="Q39" s="60"/>
    </row>
    <row r="40" spans="1:17" ht="12.75" customHeight="1">
      <c r="A40" s="12" t="s">
        <v>95</v>
      </c>
      <c r="B40" s="6" t="s">
        <v>326</v>
      </c>
      <c r="C40" s="6" t="s">
        <v>285</v>
      </c>
      <c r="D40" s="6" t="s">
        <v>327</v>
      </c>
      <c r="E40" s="8"/>
      <c r="F40" s="8"/>
      <c r="G40" s="13">
        <v>100</v>
      </c>
      <c r="H40" s="13">
        <v>0</v>
      </c>
      <c r="I40" s="13">
        <v>0</v>
      </c>
      <c r="J40" s="54">
        <f t="shared" si="2"/>
        <v>100</v>
      </c>
      <c r="K40" s="13">
        <v>5</v>
      </c>
      <c r="L40" s="54">
        <f t="shared" si="3"/>
        <v>500</v>
      </c>
      <c r="M40" s="8"/>
      <c r="N40" s="8"/>
      <c r="O40" s="55">
        <v>50</v>
      </c>
      <c r="P40" s="15"/>
      <c r="Q40" s="60"/>
    </row>
    <row r="41" spans="1:17" ht="12.75" customHeight="1">
      <c r="A41" s="12" t="s">
        <v>121</v>
      </c>
      <c r="B41" s="6" t="s">
        <v>328</v>
      </c>
      <c r="C41" s="6" t="s">
        <v>329</v>
      </c>
      <c r="D41" s="8"/>
      <c r="E41" s="8"/>
      <c r="F41" s="8"/>
      <c r="G41" s="13">
        <v>1400</v>
      </c>
      <c r="H41" s="13">
        <v>0</v>
      </c>
      <c r="I41" s="13">
        <v>0</v>
      </c>
      <c r="J41" s="54">
        <f t="shared" si="2"/>
        <v>1400</v>
      </c>
      <c r="K41" s="13">
        <v>2.85</v>
      </c>
      <c r="L41" s="54">
        <f t="shared" si="3"/>
        <v>3990</v>
      </c>
      <c r="M41" s="8"/>
      <c r="N41" s="8"/>
      <c r="O41" s="55"/>
      <c r="P41" s="15"/>
      <c r="Q41" s="60"/>
    </row>
    <row r="42" spans="1:17" ht="12.75" customHeight="1">
      <c r="A42" s="12" t="s">
        <v>121</v>
      </c>
      <c r="B42" s="6" t="s">
        <v>330</v>
      </c>
      <c r="C42" s="8"/>
      <c r="D42" s="8"/>
      <c r="E42" s="8"/>
      <c r="F42" s="8"/>
      <c r="G42" s="13">
        <v>1400</v>
      </c>
      <c r="H42" s="13">
        <v>0</v>
      </c>
      <c r="I42" s="13">
        <v>0</v>
      </c>
      <c r="J42" s="54">
        <f t="shared" si="2"/>
        <v>1400</v>
      </c>
      <c r="K42" s="13">
        <v>4.75</v>
      </c>
      <c r="L42" s="54">
        <f t="shared" si="3"/>
        <v>6650</v>
      </c>
      <c r="M42" s="8"/>
      <c r="N42" s="8"/>
      <c r="O42" s="55"/>
      <c r="P42" s="15"/>
      <c r="Q42" s="60"/>
    </row>
    <row r="43" spans="1:17" ht="12.75" customHeight="1">
      <c r="A43" s="12" t="s">
        <v>95</v>
      </c>
      <c r="B43" s="6" t="s">
        <v>85</v>
      </c>
      <c r="C43" s="6" t="s">
        <v>331</v>
      </c>
      <c r="D43" s="8"/>
      <c r="E43" s="8"/>
      <c r="F43" s="8"/>
      <c r="G43" s="13">
        <v>200</v>
      </c>
      <c r="H43" s="13">
        <v>0</v>
      </c>
      <c r="I43" s="13">
        <v>0</v>
      </c>
      <c r="J43" s="54">
        <f t="shared" si="2"/>
        <v>200</v>
      </c>
      <c r="K43" s="13">
        <v>5.4</v>
      </c>
      <c r="L43" s="54">
        <f t="shared" si="3"/>
        <v>1080</v>
      </c>
      <c r="M43" s="8"/>
      <c r="N43" s="8"/>
      <c r="O43" s="55"/>
      <c r="P43" s="15"/>
      <c r="Q43" s="60"/>
    </row>
    <row r="44" spans="1:17" ht="12.75" customHeight="1">
      <c r="A44" s="12" t="s">
        <v>95</v>
      </c>
      <c r="B44" s="6" t="s">
        <v>80</v>
      </c>
      <c r="C44" s="6" t="s">
        <v>331</v>
      </c>
      <c r="D44" s="8"/>
      <c r="E44" s="8"/>
      <c r="F44" s="8"/>
      <c r="G44" s="13">
        <v>450</v>
      </c>
      <c r="H44" s="13">
        <v>0</v>
      </c>
      <c r="I44" s="13">
        <v>0</v>
      </c>
      <c r="J44" s="54">
        <f t="shared" si="2"/>
        <v>450</v>
      </c>
      <c r="K44" s="13">
        <v>4.4000000000000004</v>
      </c>
      <c r="L44" s="54">
        <f t="shared" si="3"/>
        <v>1980.0000000000002</v>
      </c>
      <c r="M44" s="8"/>
      <c r="N44" s="8"/>
      <c r="O44" s="55"/>
      <c r="P44" s="15"/>
      <c r="Q44" s="60"/>
    </row>
    <row r="45" spans="1:17" ht="12.75" customHeight="1">
      <c r="A45" s="12" t="s">
        <v>95</v>
      </c>
      <c r="B45" s="6" t="s">
        <v>87</v>
      </c>
      <c r="C45" s="6" t="s">
        <v>332</v>
      </c>
      <c r="D45" s="8"/>
      <c r="E45" s="8"/>
      <c r="F45" s="8"/>
      <c r="G45" s="13">
        <v>202</v>
      </c>
      <c r="H45" s="13">
        <v>0</v>
      </c>
      <c r="I45" s="13">
        <v>0</v>
      </c>
      <c r="J45" s="54">
        <f t="shared" si="2"/>
        <v>202</v>
      </c>
      <c r="K45" s="13">
        <v>1.35</v>
      </c>
      <c r="L45" s="54">
        <f t="shared" si="3"/>
        <v>272.70000000000005</v>
      </c>
      <c r="M45" s="8"/>
      <c r="N45" s="8"/>
      <c r="O45" s="55"/>
      <c r="P45" s="15"/>
      <c r="Q45" s="60"/>
    </row>
    <row r="46" spans="1:17" ht="12.75" customHeight="1">
      <c r="A46" s="12" t="s">
        <v>333</v>
      </c>
      <c r="B46" s="6" t="s">
        <v>334</v>
      </c>
      <c r="C46" s="8"/>
      <c r="D46" s="8"/>
      <c r="E46" s="8"/>
      <c r="F46" s="8"/>
      <c r="G46" s="13">
        <v>0</v>
      </c>
      <c r="H46" s="13">
        <v>0</v>
      </c>
      <c r="I46" s="13">
        <v>0</v>
      </c>
      <c r="J46" s="54">
        <f t="shared" si="2"/>
        <v>0</v>
      </c>
      <c r="K46" s="13">
        <v>2.75</v>
      </c>
      <c r="L46" s="54">
        <f t="shared" si="3"/>
        <v>0</v>
      </c>
      <c r="M46" s="8"/>
      <c r="N46" s="8"/>
      <c r="O46" s="55"/>
      <c r="P46" s="15"/>
      <c r="Q46" s="60"/>
    </row>
    <row r="47" spans="1:17" ht="12.75" customHeight="1">
      <c r="A47" s="12" t="s">
        <v>335</v>
      </c>
      <c r="B47" s="6" t="s">
        <v>336</v>
      </c>
      <c r="C47" s="6" t="s">
        <v>69</v>
      </c>
      <c r="D47" s="8"/>
      <c r="E47" s="8"/>
      <c r="F47" s="8"/>
      <c r="G47" s="13">
        <v>0</v>
      </c>
      <c r="H47" s="13">
        <v>0</v>
      </c>
      <c r="I47" s="13">
        <v>0</v>
      </c>
      <c r="J47" s="54">
        <f t="shared" si="2"/>
        <v>0</v>
      </c>
      <c r="K47" s="13">
        <v>3.5</v>
      </c>
      <c r="L47" s="54">
        <f t="shared" si="3"/>
        <v>0</v>
      </c>
      <c r="M47" s="8"/>
      <c r="N47" s="8"/>
      <c r="O47" s="55"/>
      <c r="P47" s="15"/>
      <c r="Q47" s="60"/>
    </row>
    <row r="48" spans="1:17" ht="12.75" customHeight="1">
      <c r="A48" s="12" t="s">
        <v>145</v>
      </c>
      <c r="B48" s="6" t="s">
        <v>337</v>
      </c>
      <c r="C48" s="6" t="s">
        <v>338</v>
      </c>
      <c r="D48" s="8"/>
      <c r="E48" s="8"/>
      <c r="F48" s="8"/>
      <c r="G48" s="83">
        <v>150</v>
      </c>
      <c r="H48" s="13">
        <v>0</v>
      </c>
      <c r="I48" s="13">
        <v>0</v>
      </c>
      <c r="J48" s="54">
        <f t="shared" si="2"/>
        <v>150</v>
      </c>
      <c r="K48" s="13">
        <v>133</v>
      </c>
      <c r="L48" s="54">
        <f t="shared" si="3"/>
        <v>19950</v>
      </c>
      <c r="M48" s="8"/>
      <c r="N48" s="8"/>
      <c r="O48" s="55"/>
      <c r="P48" s="15"/>
      <c r="Q48" s="60"/>
    </row>
    <row r="49" spans="1:17" ht="12.75" customHeight="1">
      <c r="A49" s="12" t="s">
        <v>145</v>
      </c>
      <c r="B49" s="6" t="s">
        <v>339</v>
      </c>
      <c r="C49" s="8"/>
      <c r="D49" s="8">
        <v>8</v>
      </c>
      <c r="E49" s="8"/>
      <c r="F49" s="8"/>
      <c r="G49" s="87">
        <v>200</v>
      </c>
      <c r="H49" s="13">
        <v>0</v>
      </c>
      <c r="I49" s="13">
        <v>0</v>
      </c>
      <c r="J49" s="54">
        <f t="shared" si="2"/>
        <v>200</v>
      </c>
      <c r="K49" s="13">
        <v>7.6</v>
      </c>
      <c r="L49" s="54">
        <f t="shared" si="3"/>
        <v>1520</v>
      </c>
      <c r="M49" s="8"/>
      <c r="N49" s="8"/>
      <c r="O49" s="55">
        <v>8</v>
      </c>
      <c r="P49" s="15"/>
      <c r="Q49" s="60"/>
    </row>
    <row r="50" spans="1:17" ht="12.75" customHeight="1">
      <c r="A50" s="12" t="s">
        <v>145</v>
      </c>
      <c r="B50" s="6" t="s">
        <v>340</v>
      </c>
      <c r="C50" s="6" t="s">
        <v>341</v>
      </c>
      <c r="D50" s="8">
        <v>8.5</v>
      </c>
      <c r="E50" s="8"/>
      <c r="F50" s="8"/>
      <c r="G50" s="87">
        <v>100</v>
      </c>
      <c r="H50" s="8"/>
      <c r="I50" s="13">
        <v>0</v>
      </c>
      <c r="J50" s="54">
        <f t="shared" si="2"/>
        <v>100</v>
      </c>
      <c r="K50" s="13">
        <v>6</v>
      </c>
      <c r="L50" s="54">
        <f t="shared" si="3"/>
        <v>600</v>
      </c>
      <c r="M50" s="17"/>
      <c r="N50" s="8"/>
      <c r="O50" s="56">
        <v>7.5</v>
      </c>
      <c r="P50" s="89"/>
      <c r="Q50" s="60"/>
    </row>
    <row r="51" spans="1:17" ht="12.75" customHeight="1">
      <c r="A51" s="12" t="s">
        <v>342</v>
      </c>
      <c r="B51" s="8"/>
      <c r="C51" s="8"/>
      <c r="D51" s="8"/>
      <c r="E51" s="8"/>
      <c r="F51" s="8"/>
      <c r="G51" s="13">
        <v>0</v>
      </c>
      <c r="H51" s="8"/>
      <c r="I51" s="8"/>
      <c r="J51" s="54">
        <f t="shared" si="2"/>
        <v>0</v>
      </c>
      <c r="K51" s="13">
        <v>80</v>
      </c>
      <c r="L51" s="54">
        <f t="shared" si="3"/>
        <v>0</v>
      </c>
      <c r="M51" s="8"/>
      <c r="N51" s="8"/>
      <c r="O51" s="55"/>
      <c r="P51" s="15"/>
      <c r="Q51" s="60"/>
    </row>
    <row r="52" spans="1:17" ht="12.75" customHeight="1">
      <c r="A52" s="12" t="s">
        <v>343</v>
      </c>
      <c r="B52" s="6" t="s">
        <v>344</v>
      </c>
      <c r="C52" s="8"/>
      <c r="D52" s="8"/>
      <c r="E52" s="8"/>
      <c r="F52" s="8"/>
      <c r="G52" s="13">
        <v>0</v>
      </c>
      <c r="H52" s="8"/>
      <c r="I52" s="8"/>
      <c r="J52" s="54">
        <f t="shared" si="2"/>
        <v>0</v>
      </c>
      <c r="K52" s="13">
        <v>10.4</v>
      </c>
      <c r="L52" s="54">
        <f t="shared" si="3"/>
        <v>0</v>
      </c>
      <c r="M52" s="8"/>
      <c r="N52" s="8"/>
      <c r="O52" s="55"/>
      <c r="P52" s="15"/>
      <c r="Q52" s="60"/>
    </row>
    <row r="53" spans="1:17" ht="12.75" customHeight="1">
      <c r="A53" s="12" t="s">
        <v>155</v>
      </c>
      <c r="B53" s="8"/>
      <c r="C53" s="8"/>
      <c r="D53" s="8"/>
      <c r="E53" s="8"/>
      <c r="F53" s="8"/>
      <c r="G53" s="13">
        <v>0</v>
      </c>
      <c r="H53" s="8"/>
      <c r="I53" s="8"/>
      <c r="J53" s="54">
        <f t="shared" si="2"/>
        <v>0</v>
      </c>
      <c r="K53" s="13">
        <v>2.8</v>
      </c>
      <c r="L53" s="54">
        <f t="shared" si="3"/>
        <v>0</v>
      </c>
      <c r="M53" s="8"/>
      <c r="N53" s="8"/>
      <c r="O53" s="55"/>
      <c r="P53" s="15"/>
    </row>
    <row r="54" spans="1:17" ht="12.75" customHeight="1">
      <c r="A54" s="12" t="s">
        <v>282</v>
      </c>
      <c r="B54" s="6" t="s">
        <v>345</v>
      </c>
      <c r="C54" s="8"/>
      <c r="D54" s="8"/>
      <c r="E54" s="8"/>
      <c r="F54" s="8"/>
      <c r="G54" s="13">
        <v>0</v>
      </c>
      <c r="H54" s="8"/>
      <c r="I54" s="8"/>
      <c r="J54" s="54">
        <f t="shared" si="2"/>
        <v>0</v>
      </c>
      <c r="K54" s="13">
        <v>321</v>
      </c>
      <c r="L54" s="54">
        <f t="shared" si="3"/>
        <v>0</v>
      </c>
      <c r="M54" s="8"/>
      <c r="N54" s="8"/>
      <c r="O54" s="55"/>
      <c r="P54" s="15"/>
    </row>
    <row r="55" spans="1:17" ht="12.75" customHeight="1">
      <c r="A55" s="12" t="s">
        <v>346</v>
      </c>
      <c r="B55" s="8"/>
      <c r="C55" s="8"/>
      <c r="D55" s="8"/>
      <c r="E55" s="8"/>
      <c r="F55" s="8"/>
      <c r="G55" s="8"/>
      <c r="H55" s="8"/>
      <c r="I55" s="8"/>
      <c r="J55" s="57"/>
      <c r="K55" s="8"/>
      <c r="L55" s="58">
        <f>SUM(L2:L54)</f>
        <v>1791891.24</v>
      </c>
      <c r="M55" s="8"/>
      <c r="N55" s="8"/>
      <c r="O55" s="59"/>
      <c r="P55" s="15"/>
    </row>
  </sheetData>
  <pageMargins left="0.75" right="0.75" top="1" bottom="1" header="0.51181100000000002" footer="0.5"/>
  <pageSetup orientation="portrait" r:id="rId1"/>
  <headerFooter>
    <oddFooter>&amp;C&amp;"Helvetica Neue,Regular"&amp;12&amp;K000000&amp;P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131"/>
  <sheetViews>
    <sheetView showGridLines="0" workbookViewId="0">
      <selection activeCell="U33" sqref="U33"/>
    </sheetView>
  </sheetViews>
  <sheetFormatPr defaultColWidth="8.85546875" defaultRowHeight="12.75" customHeight="1"/>
  <cols>
    <col min="1" max="1" width="14" style="60" customWidth="1"/>
    <col min="2" max="2" width="36.140625" style="60" customWidth="1"/>
    <col min="3" max="3" width="7.42578125" style="60" customWidth="1"/>
    <col min="4" max="4" width="5.85546875" style="60" customWidth="1"/>
    <col min="5" max="5" width="6.85546875" style="60" customWidth="1"/>
    <col min="6" max="6" width="9.42578125" style="60" customWidth="1"/>
    <col min="7" max="7" width="8.7109375" style="60" customWidth="1"/>
    <col min="8" max="8" width="16.7109375" style="60" customWidth="1"/>
    <col min="9" max="9" width="11.85546875" style="60" customWidth="1"/>
    <col min="10" max="10" width="9.7109375" style="60" customWidth="1"/>
    <col min="11" max="11" width="16" style="60" customWidth="1"/>
    <col min="12" max="12" width="8.85546875" style="60" customWidth="1"/>
    <col min="13" max="16384" width="8.85546875" style="60"/>
  </cols>
  <sheetData>
    <row r="1" spans="1:11" ht="13.7" customHeight="1">
      <c r="A1" s="122" t="s">
        <v>348</v>
      </c>
      <c r="B1" s="70" t="s">
        <v>349</v>
      </c>
      <c r="C1" s="70" t="s">
        <v>350</v>
      </c>
      <c r="D1" s="70" t="s">
        <v>11</v>
      </c>
      <c r="E1" s="123" t="s">
        <v>12</v>
      </c>
      <c r="F1" s="124" t="s">
        <v>4</v>
      </c>
      <c r="G1" s="122" t="s">
        <v>14</v>
      </c>
      <c r="H1" s="70" t="s">
        <v>15</v>
      </c>
      <c r="I1" s="47" t="s">
        <v>523</v>
      </c>
      <c r="J1" s="101" t="s">
        <v>524</v>
      </c>
      <c r="K1" s="11"/>
    </row>
    <row r="2" spans="1:11" ht="13.7" customHeight="1">
      <c r="A2" s="95"/>
      <c r="B2" s="73" t="s">
        <v>511</v>
      </c>
      <c r="C2" s="65">
        <v>149</v>
      </c>
      <c r="D2" s="65">
        <v>0</v>
      </c>
      <c r="E2" s="67">
        <v>100</v>
      </c>
      <c r="F2" s="68">
        <f t="shared" ref="F2:F67" si="0">C2+D2-E2</f>
        <v>49</v>
      </c>
      <c r="G2" s="95">
        <v>7</v>
      </c>
      <c r="H2" s="65">
        <f t="shared" ref="H2:H67" si="1">F2*G2</f>
        <v>343</v>
      </c>
      <c r="I2" s="119">
        <v>0</v>
      </c>
      <c r="J2" s="107" t="str">
        <f t="shared" ref="J2:J65" si="2">IF(I2&gt;F2,"Y","")</f>
        <v/>
      </c>
      <c r="K2" s="16"/>
    </row>
    <row r="3" spans="1:11" ht="13.7" customHeight="1">
      <c r="A3" s="116">
        <v>5636</v>
      </c>
      <c r="B3" s="20" t="s">
        <v>351</v>
      </c>
      <c r="C3" s="65">
        <v>0</v>
      </c>
      <c r="D3" s="65">
        <v>0</v>
      </c>
      <c r="E3" s="67">
        <v>0</v>
      </c>
      <c r="F3" s="68">
        <f t="shared" si="0"/>
        <v>0</v>
      </c>
      <c r="G3" s="69">
        <v>29.42</v>
      </c>
      <c r="H3" s="65">
        <f t="shared" si="1"/>
        <v>0</v>
      </c>
      <c r="I3" s="119">
        <v>0</v>
      </c>
      <c r="J3" s="107" t="str">
        <f t="shared" si="2"/>
        <v/>
      </c>
      <c r="K3" s="16"/>
    </row>
    <row r="4" spans="1:11" ht="13.7" customHeight="1">
      <c r="A4" s="69">
        <v>6450</v>
      </c>
      <c r="B4" s="70" t="s">
        <v>352</v>
      </c>
      <c r="C4" s="65">
        <v>250</v>
      </c>
      <c r="D4" s="65">
        <v>0</v>
      </c>
      <c r="E4" s="67">
        <v>210</v>
      </c>
      <c r="F4" s="68">
        <f>C4+D4-E4</f>
        <v>40</v>
      </c>
      <c r="G4" s="69">
        <v>5</v>
      </c>
      <c r="H4" s="65">
        <f t="shared" si="1"/>
        <v>200</v>
      </c>
      <c r="I4" s="119">
        <v>50</v>
      </c>
      <c r="J4" s="107" t="str">
        <f t="shared" si="2"/>
        <v>Y</v>
      </c>
      <c r="K4" s="16"/>
    </row>
    <row r="5" spans="1:11" ht="13.7" customHeight="1">
      <c r="A5" s="69">
        <v>7236</v>
      </c>
      <c r="B5" s="61" t="s">
        <v>353</v>
      </c>
      <c r="C5" s="65">
        <v>500</v>
      </c>
      <c r="D5" s="65">
        <v>0</v>
      </c>
      <c r="E5" s="67">
        <v>500</v>
      </c>
      <c r="F5" s="68">
        <f t="shared" si="0"/>
        <v>0</v>
      </c>
      <c r="G5" s="69">
        <v>12.5</v>
      </c>
      <c r="H5" s="65">
        <f t="shared" si="1"/>
        <v>0</v>
      </c>
      <c r="I5" s="119">
        <v>100</v>
      </c>
      <c r="J5" s="107" t="str">
        <f t="shared" si="2"/>
        <v>Y</v>
      </c>
      <c r="K5" s="16"/>
    </row>
    <row r="6" spans="1:11" ht="13.7" customHeight="1">
      <c r="A6" s="69">
        <v>8218</v>
      </c>
      <c r="B6" s="61" t="s">
        <v>354</v>
      </c>
      <c r="C6" s="65">
        <v>0</v>
      </c>
      <c r="D6" s="65">
        <v>0</v>
      </c>
      <c r="E6" s="67">
        <v>0</v>
      </c>
      <c r="F6" s="68">
        <f t="shared" si="0"/>
        <v>0</v>
      </c>
      <c r="G6" s="69">
        <v>39.520000000000003</v>
      </c>
      <c r="H6" s="65">
        <f t="shared" si="1"/>
        <v>0</v>
      </c>
      <c r="I6" s="119">
        <v>0</v>
      </c>
      <c r="J6" s="107" t="str">
        <f t="shared" si="2"/>
        <v/>
      </c>
      <c r="K6" s="16"/>
    </row>
    <row r="7" spans="1:11" ht="13.7" customHeight="1">
      <c r="A7" s="69"/>
      <c r="B7" s="61" t="s">
        <v>512</v>
      </c>
      <c r="C7" s="65">
        <v>255</v>
      </c>
      <c r="D7" s="65">
        <v>0</v>
      </c>
      <c r="E7" s="67">
        <v>255</v>
      </c>
      <c r="F7" s="68">
        <f t="shared" si="0"/>
        <v>0</v>
      </c>
      <c r="G7" s="69">
        <v>15</v>
      </c>
      <c r="H7" s="65">
        <f t="shared" si="1"/>
        <v>0</v>
      </c>
      <c r="I7" s="119">
        <v>0</v>
      </c>
      <c r="J7" s="107" t="str">
        <f t="shared" si="2"/>
        <v/>
      </c>
      <c r="K7" s="16"/>
    </row>
    <row r="8" spans="1:11" ht="13.7" customHeight="1">
      <c r="A8" s="69">
        <v>168</v>
      </c>
      <c r="B8" s="61" t="s">
        <v>492</v>
      </c>
      <c r="C8" s="65">
        <v>50</v>
      </c>
      <c r="D8" s="65"/>
      <c r="E8" s="67"/>
      <c r="F8" s="68">
        <f t="shared" si="0"/>
        <v>50</v>
      </c>
      <c r="G8" s="69">
        <v>12.8</v>
      </c>
      <c r="H8" s="65">
        <f t="shared" si="1"/>
        <v>640</v>
      </c>
      <c r="I8" s="119">
        <v>50</v>
      </c>
      <c r="J8" s="107" t="str">
        <f t="shared" si="2"/>
        <v/>
      </c>
      <c r="K8" s="16"/>
    </row>
    <row r="9" spans="1:11" ht="15" customHeight="1">
      <c r="A9" s="69">
        <v>10015</v>
      </c>
      <c r="B9" s="61" t="s">
        <v>355</v>
      </c>
      <c r="C9" s="65">
        <v>100</v>
      </c>
      <c r="D9" s="65">
        <v>0</v>
      </c>
      <c r="E9" s="67">
        <v>0</v>
      </c>
      <c r="F9" s="68">
        <f t="shared" si="0"/>
        <v>100</v>
      </c>
      <c r="G9" s="69">
        <v>27.26</v>
      </c>
      <c r="H9" s="65">
        <f t="shared" si="1"/>
        <v>2726</v>
      </c>
      <c r="I9" s="119">
        <v>50</v>
      </c>
      <c r="J9" s="107" t="str">
        <f t="shared" si="2"/>
        <v/>
      </c>
      <c r="K9" s="16"/>
    </row>
    <row r="10" spans="1:11" ht="13.7" customHeight="1">
      <c r="A10" s="69">
        <v>10812</v>
      </c>
      <c r="B10" s="71" t="s">
        <v>356</v>
      </c>
      <c r="C10" s="65">
        <v>330</v>
      </c>
      <c r="D10" s="65">
        <v>0</v>
      </c>
      <c r="E10" s="67">
        <v>0</v>
      </c>
      <c r="F10" s="68">
        <f t="shared" si="0"/>
        <v>330</v>
      </c>
      <c r="G10" s="69">
        <v>42.16</v>
      </c>
      <c r="H10" s="65">
        <f t="shared" si="1"/>
        <v>13912.8</v>
      </c>
      <c r="I10" s="119">
        <v>100</v>
      </c>
      <c r="J10" s="107" t="str">
        <f t="shared" si="2"/>
        <v/>
      </c>
      <c r="K10" s="16"/>
    </row>
    <row r="11" spans="1:11" ht="13.7" customHeight="1">
      <c r="A11" s="69">
        <v>10872</v>
      </c>
      <c r="B11" s="61" t="s">
        <v>357</v>
      </c>
      <c r="C11" s="65">
        <v>200</v>
      </c>
      <c r="D11" s="65">
        <v>0</v>
      </c>
      <c r="E11" s="67">
        <v>0</v>
      </c>
      <c r="F11" s="68">
        <f t="shared" si="0"/>
        <v>200</v>
      </c>
      <c r="G11" s="69">
        <v>42.17</v>
      </c>
      <c r="H11" s="65">
        <f t="shared" si="1"/>
        <v>8434</v>
      </c>
      <c r="I11" s="119">
        <v>100</v>
      </c>
      <c r="J11" s="107" t="str">
        <f t="shared" si="2"/>
        <v/>
      </c>
      <c r="K11" s="16"/>
    </row>
    <row r="12" spans="1:11" ht="13.7" customHeight="1">
      <c r="A12" s="69">
        <v>13017</v>
      </c>
      <c r="B12" s="61" t="s">
        <v>358</v>
      </c>
      <c r="C12" s="65">
        <v>0</v>
      </c>
      <c r="D12" s="65">
        <v>0</v>
      </c>
      <c r="E12" s="67">
        <v>0</v>
      </c>
      <c r="F12" s="68">
        <f t="shared" si="0"/>
        <v>0</v>
      </c>
      <c r="G12" s="69">
        <v>3.13</v>
      </c>
      <c r="H12" s="65">
        <f t="shared" si="1"/>
        <v>0</v>
      </c>
      <c r="I12" s="67">
        <v>0</v>
      </c>
      <c r="J12" s="107" t="str">
        <f t="shared" si="2"/>
        <v/>
      </c>
      <c r="K12" s="16"/>
    </row>
    <row r="13" spans="1:11" ht="13.7" customHeight="1">
      <c r="A13" s="69">
        <v>14119</v>
      </c>
      <c r="B13" s="61" t="s">
        <v>359</v>
      </c>
      <c r="C13" s="65">
        <v>119</v>
      </c>
      <c r="D13" s="65">
        <v>0</v>
      </c>
      <c r="E13" s="67">
        <v>0</v>
      </c>
      <c r="F13" s="68">
        <f t="shared" si="0"/>
        <v>119</v>
      </c>
      <c r="G13" s="69">
        <v>3.7</v>
      </c>
      <c r="H13" s="65">
        <f t="shared" si="1"/>
        <v>440.3</v>
      </c>
      <c r="I13" s="119">
        <v>50</v>
      </c>
      <c r="J13" s="107" t="str">
        <f t="shared" si="2"/>
        <v/>
      </c>
      <c r="K13" s="16"/>
    </row>
    <row r="14" spans="1:11" ht="13.7" customHeight="1">
      <c r="A14" s="69">
        <v>14151</v>
      </c>
      <c r="B14" s="61" t="s">
        <v>510</v>
      </c>
      <c r="C14" s="65">
        <v>0</v>
      </c>
      <c r="D14" s="65">
        <v>0</v>
      </c>
      <c r="E14" s="67">
        <v>0</v>
      </c>
      <c r="F14" s="68">
        <f t="shared" si="0"/>
        <v>0</v>
      </c>
      <c r="G14" s="69">
        <v>27.7</v>
      </c>
      <c r="H14" s="65">
        <f t="shared" si="1"/>
        <v>0</v>
      </c>
      <c r="I14" s="119">
        <v>50</v>
      </c>
      <c r="J14" s="107" t="str">
        <f t="shared" si="2"/>
        <v>Y</v>
      </c>
      <c r="K14" s="16"/>
    </row>
    <row r="15" spans="1:11" ht="15" customHeight="1">
      <c r="A15" s="69">
        <v>14152</v>
      </c>
      <c r="B15" s="61" t="s">
        <v>360</v>
      </c>
      <c r="C15" s="65">
        <v>89</v>
      </c>
      <c r="D15" s="65">
        <v>0</v>
      </c>
      <c r="E15" s="67">
        <v>0</v>
      </c>
      <c r="F15" s="68">
        <f t="shared" si="0"/>
        <v>89</v>
      </c>
      <c r="G15" s="69">
        <v>47</v>
      </c>
      <c r="H15" s="65">
        <f t="shared" si="1"/>
        <v>4183</v>
      </c>
      <c r="I15" s="119">
        <v>100</v>
      </c>
      <c r="J15" s="107" t="str">
        <f t="shared" si="2"/>
        <v>Y</v>
      </c>
      <c r="K15" s="16"/>
    </row>
    <row r="16" spans="1:11" ht="13.7" customHeight="1">
      <c r="A16" s="69">
        <v>14241</v>
      </c>
      <c r="B16" s="71" t="s">
        <v>361</v>
      </c>
      <c r="C16" s="65">
        <v>0</v>
      </c>
      <c r="D16" s="65">
        <v>0</v>
      </c>
      <c r="E16" s="67">
        <v>0</v>
      </c>
      <c r="F16" s="68">
        <v>0</v>
      </c>
      <c r="G16" s="69">
        <v>42.17</v>
      </c>
      <c r="H16" s="65">
        <v>0</v>
      </c>
      <c r="I16" s="67">
        <v>100</v>
      </c>
      <c r="J16" s="107" t="str">
        <f t="shared" si="2"/>
        <v>Y</v>
      </c>
      <c r="K16" s="16"/>
    </row>
    <row r="17" spans="1:11" ht="13.7" customHeight="1">
      <c r="A17" s="69">
        <v>14332</v>
      </c>
      <c r="B17" s="72" t="s">
        <v>362</v>
      </c>
      <c r="C17" s="65">
        <v>455</v>
      </c>
      <c r="D17" s="65">
        <v>0</v>
      </c>
      <c r="E17" s="67">
        <v>0</v>
      </c>
      <c r="F17" s="68">
        <f t="shared" si="0"/>
        <v>455</v>
      </c>
      <c r="G17" s="69">
        <v>31.75</v>
      </c>
      <c r="H17" s="65">
        <f t="shared" si="1"/>
        <v>14446.25</v>
      </c>
      <c r="I17" s="119">
        <v>100</v>
      </c>
      <c r="J17" s="107" t="str">
        <f t="shared" si="2"/>
        <v/>
      </c>
      <c r="K17" s="16"/>
    </row>
    <row r="18" spans="1:11" ht="15" customHeight="1">
      <c r="A18" s="69">
        <v>14372</v>
      </c>
      <c r="B18" s="61" t="s">
        <v>363</v>
      </c>
      <c r="C18" s="65">
        <v>328</v>
      </c>
      <c r="D18" s="65"/>
      <c r="E18" s="67">
        <v>300</v>
      </c>
      <c r="F18" s="68">
        <f t="shared" si="0"/>
        <v>28</v>
      </c>
      <c r="G18" s="69">
        <v>42.16</v>
      </c>
      <c r="H18" s="65">
        <f t="shared" si="1"/>
        <v>1180.48</v>
      </c>
      <c r="I18" s="119">
        <v>100</v>
      </c>
      <c r="J18" s="107" t="str">
        <f t="shared" si="2"/>
        <v>Y</v>
      </c>
      <c r="K18" s="16"/>
    </row>
    <row r="19" spans="1:11" ht="15" customHeight="1">
      <c r="A19" s="69">
        <v>16001</v>
      </c>
      <c r="B19" s="71" t="s">
        <v>364</v>
      </c>
      <c r="C19" s="65">
        <v>185</v>
      </c>
      <c r="D19" s="65">
        <v>351</v>
      </c>
      <c r="E19" s="67">
        <v>430</v>
      </c>
      <c r="F19" s="68">
        <f t="shared" si="0"/>
        <v>106</v>
      </c>
      <c r="G19" s="69">
        <v>49.59</v>
      </c>
      <c r="H19" s="65">
        <f t="shared" si="1"/>
        <v>5256.54</v>
      </c>
      <c r="I19" s="119">
        <v>100</v>
      </c>
      <c r="J19" s="107" t="str">
        <f t="shared" si="2"/>
        <v/>
      </c>
      <c r="K19" s="16"/>
    </row>
    <row r="20" spans="1:11" ht="13.7" customHeight="1">
      <c r="A20" s="69">
        <v>20036</v>
      </c>
      <c r="B20" s="71" t="s">
        <v>365</v>
      </c>
      <c r="C20" s="65">
        <v>194</v>
      </c>
      <c r="D20" s="65">
        <v>0</v>
      </c>
      <c r="E20" s="67">
        <v>0</v>
      </c>
      <c r="F20" s="68">
        <f t="shared" si="0"/>
        <v>194</v>
      </c>
      <c r="G20" s="69">
        <v>23.75</v>
      </c>
      <c r="H20" s="65">
        <f t="shared" si="1"/>
        <v>4607.5</v>
      </c>
      <c r="I20" s="67">
        <v>50</v>
      </c>
      <c r="J20" s="107" t="str">
        <f t="shared" si="2"/>
        <v/>
      </c>
      <c r="K20" s="16"/>
    </row>
    <row r="21" spans="1:11" ht="15" customHeight="1">
      <c r="A21" s="69">
        <v>22047</v>
      </c>
      <c r="B21" s="61" t="s">
        <v>366</v>
      </c>
      <c r="C21" s="65">
        <v>57</v>
      </c>
      <c r="D21" s="65">
        <v>0</v>
      </c>
      <c r="E21" s="67">
        <v>0</v>
      </c>
      <c r="F21" s="68">
        <f t="shared" si="0"/>
        <v>57</v>
      </c>
      <c r="G21" s="69">
        <v>33.5</v>
      </c>
      <c r="H21" s="65">
        <f t="shared" si="1"/>
        <v>1909.5</v>
      </c>
      <c r="I21" s="119">
        <v>0</v>
      </c>
      <c r="J21" s="107" t="str">
        <f t="shared" si="2"/>
        <v/>
      </c>
      <c r="K21" s="16"/>
    </row>
    <row r="22" spans="1:11" ht="15" customHeight="1">
      <c r="A22" s="69">
        <v>23059</v>
      </c>
      <c r="B22" s="71" t="s">
        <v>367</v>
      </c>
      <c r="C22" s="65">
        <v>0</v>
      </c>
      <c r="D22" s="65">
        <v>0</v>
      </c>
      <c r="E22" s="67">
        <v>0</v>
      </c>
      <c r="F22" s="68">
        <f t="shared" si="0"/>
        <v>0</v>
      </c>
      <c r="G22" s="69">
        <v>38.81</v>
      </c>
      <c r="H22" s="65">
        <f t="shared" si="1"/>
        <v>0</v>
      </c>
      <c r="I22" s="67">
        <v>0</v>
      </c>
      <c r="J22" s="107" t="str">
        <f t="shared" si="2"/>
        <v/>
      </c>
      <c r="K22" s="16"/>
    </row>
    <row r="23" spans="1:11" ht="13.7" customHeight="1">
      <c r="A23" s="69">
        <v>25048</v>
      </c>
      <c r="B23" s="71" t="s">
        <v>368</v>
      </c>
      <c r="C23" s="65">
        <v>60</v>
      </c>
      <c r="D23" s="65">
        <v>0</v>
      </c>
      <c r="E23" s="67">
        <v>0</v>
      </c>
      <c r="F23" s="68">
        <f t="shared" si="0"/>
        <v>60</v>
      </c>
      <c r="G23" s="69">
        <v>27.7</v>
      </c>
      <c r="H23" s="65">
        <f t="shared" si="1"/>
        <v>1662</v>
      </c>
      <c r="I23" s="119">
        <v>0</v>
      </c>
      <c r="J23" s="107" t="str">
        <f t="shared" si="2"/>
        <v/>
      </c>
      <c r="K23" s="16"/>
    </row>
    <row r="24" spans="1:11" ht="13.7" customHeight="1">
      <c r="A24" s="69">
        <v>26002</v>
      </c>
      <c r="B24" s="61" t="s">
        <v>369</v>
      </c>
      <c r="C24" s="65">
        <v>181</v>
      </c>
      <c r="D24" s="65">
        <v>0</v>
      </c>
      <c r="E24" s="67">
        <v>0</v>
      </c>
      <c r="F24" s="68">
        <f t="shared" si="0"/>
        <v>181</v>
      </c>
      <c r="G24" s="69">
        <v>28</v>
      </c>
      <c r="H24" s="65">
        <f t="shared" si="1"/>
        <v>5068</v>
      </c>
      <c r="I24" s="119">
        <v>0</v>
      </c>
      <c r="J24" s="107" t="str">
        <f t="shared" si="2"/>
        <v/>
      </c>
      <c r="K24" s="16"/>
    </row>
    <row r="25" spans="1:11" ht="15" customHeight="1">
      <c r="A25" s="69">
        <v>26003</v>
      </c>
      <c r="B25" s="61" t="s">
        <v>370</v>
      </c>
      <c r="C25" s="65">
        <v>350</v>
      </c>
      <c r="D25" s="65">
        <v>0</v>
      </c>
      <c r="E25" s="67">
        <v>0</v>
      </c>
      <c r="F25" s="68">
        <f t="shared" si="0"/>
        <v>350</v>
      </c>
      <c r="G25" s="69">
        <v>52</v>
      </c>
      <c r="H25" s="65">
        <f t="shared" si="1"/>
        <v>18200</v>
      </c>
      <c r="I25" s="119">
        <v>100</v>
      </c>
      <c r="J25" s="107" t="str">
        <f t="shared" si="2"/>
        <v/>
      </c>
      <c r="K25" s="16"/>
    </row>
    <row r="26" spans="1:11" ht="13.7" customHeight="1">
      <c r="A26" s="69">
        <v>27021</v>
      </c>
      <c r="B26" s="61" t="s">
        <v>487</v>
      </c>
      <c r="C26" s="65">
        <v>0</v>
      </c>
      <c r="D26" s="65">
        <v>0</v>
      </c>
      <c r="E26" s="67">
        <v>0</v>
      </c>
      <c r="F26" s="68">
        <f t="shared" si="0"/>
        <v>0</v>
      </c>
      <c r="G26" s="69">
        <v>7</v>
      </c>
      <c r="H26" s="65">
        <f t="shared" si="1"/>
        <v>0</v>
      </c>
      <c r="I26" s="119">
        <v>0</v>
      </c>
      <c r="J26" s="107" t="str">
        <f t="shared" si="2"/>
        <v/>
      </c>
      <c r="K26" s="16"/>
    </row>
    <row r="27" spans="1:11" ht="13.7" customHeight="1">
      <c r="A27" s="69">
        <v>28049</v>
      </c>
      <c r="B27" s="71" t="s">
        <v>371</v>
      </c>
      <c r="C27" s="65">
        <v>170</v>
      </c>
      <c r="D27" s="65">
        <v>0</v>
      </c>
      <c r="E27" s="67">
        <v>0</v>
      </c>
      <c r="F27" s="68">
        <f t="shared" si="0"/>
        <v>170</v>
      </c>
      <c r="G27" s="69">
        <v>33</v>
      </c>
      <c r="H27" s="65">
        <f t="shared" si="1"/>
        <v>5610</v>
      </c>
      <c r="I27" s="119">
        <v>0</v>
      </c>
      <c r="J27" s="107" t="str">
        <f t="shared" si="2"/>
        <v/>
      </c>
      <c r="K27" s="16"/>
    </row>
    <row r="28" spans="1:11" ht="13.7" customHeight="1">
      <c r="A28" s="69">
        <v>29055</v>
      </c>
      <c r="B28" s="61" t="s">
        <v>372</v>
      </c>
      <c r="C28" s="65">
        <v>140</v>
      </c>
      <c r="D28" s="65">
        <v>0</v>
      </c>
      <c r="E28" s="67">
        <v>0</v>
      </c>
      <c r="F28" s="68">
        <f t="shared" si="0"/>
        <v>140</v>
      </c>
      <c r="G28" s="69">
        <v>3.43</v>
      </c>
      <c r="H28" s="65">
        <f t="shared" si="1"/>
        <v>480.20000000000005</v>
      </c>
      <c r="I28" s="119">
        <v>50</v>
      </c>
      <c r="J28" s="107" t="str">
        <f t="shared" si="2"/>
        <v/>
      </c>
      <c r="K28" s="16"/>
    </row>
    <row r="29" spans="1:11" ht="13.7" customHeight="1">
      <c r="A29" s="69">
        <v>29062</v>
      </c>
      <c r="B29" s="61" t="s">
        <v>373</v>
      </c>
      <c r="C29" s="65">
        <v>25</v>
      </c>
      <c r="D29" s="65">
        <v>0</v>
      </c>
      <c r="E29" s="67">
        <v>0</v>
      </c>
      <c r="F29" s="68">
        <f t="shared" si="0"/>
        <v>25</v>
      </c>
      <c r="G29" s="69">
        <v>37.520000000000003</v>
      </c>
      <c r="H29" s="65">
        <f t="shared" si="1"/>
        <v>938.00000000000011</v>
      </c>
      <c r="I29" s="119">
        <v>50</v>
      </c>
      <c r="J29" s="107" t="str">
        <f t="shared" si="2"/>
        <v>Y</v>
      </c>
      <c r="K29" s="16"/>
    </row>
    <row r="30" spans="1:11" ht="13.7" customHeight="1">
      <c r="A30" s="69">
        <v>29076</v>
      </c>
      <c r="B30" s="61" t="s">
        <v>374</v>
      </c>
      <c r="C30" s="65"/>
      <c r="D30" s="65">
        <v>0</v>
      </c>
      <c r="E30" s="67">
        <v>0</v>
      </c>
      <c r="F30" s="68">
        <f t="shared" si="0"/>
        <v>0</v>
      </c>
      <c r="G30" s="69">
        <v>58</v>
      </c>
      <c r="H30" s="65">
        <f t="shared" si="1"/>
        <v>0</v>
      </c>
      <c r="I30" s="119">
        <v>50</v>
      </c>
      <c r="J30" s="107" t="str">
        <f t="shared" si="2"/>
        <v>Y</v>
      </c>
      <c r="K30" s="16"/>
    </row>
    <row r="31" spans="1:11" ht="13.7" customHeight="1">
      <c r="A31" s="69">
        <v>30038</v>
      </c>
      <c r="B31" s="61" t="s">
        <v>375</v>
      </c>
      <c r="C31" s="65">
        <v>0</v>
      </c>
      <c r="D31" s="65">
        <v>0</v>
      </c>
      <c r="E31" s="67">
        <v>0</v>
      </c>
      <c r="F31" s="68">
        <f t="shared" si="0"/>
        <v>0</v>
      </c>
      <c r="G31" s="69">
        <v>35.72</v>
      </c>
      <c r="H31" s="65">
        <f t="shared" si="1"/>
        <v>0</v>
      </c>
      <c r="I31" s="120">
        <v>0</v>
      </c>
      <c r="J31" s="107" t="str">
        <f t="shared" si="2"/>
        <v/>
      </c>
      <c r="K31" s="16"/>
    </row>
    <row r="32" spans="1:11" ht="15" customHeight="1">
      <c r="A32" s="69">
        <v>30056</v>
      </c>
      <c r="B32" s="61" t="s">
        <v>376</v>
      </c>
      <c r="C32" s="65">
        <v>25</v>
      </c>
      <c r="D32" s="65">
        <v>0</v>
      </c>
      <c r="E32" s="67">
        <v>0</v>
      </c>
      <c r="F32" s="68">
        <f t="shared" si="0"/>
        <v>25</v>
      </c>
      <c r="G32" s="69">
        <v>14.5</v>
      </c>
      <c r="H32" s="65">
        <f t="shared" si="1"/>
        <v>362.5</v>
      </c>
      <c r="I32" s="119">
        <v>50</v>
      </c>
      <c r="J32" s="107" t="str">
        <f t="shared" si="2"/>
        <v>Y</v>
      </c>
      <c r="K32" s="16"/>
    </row>
    <row r="33" spans="1:11" ht="13.7" customHeight="1">
      <c r="A33" s="69">
        <v>30087</v>
      </c>
      <c r="B33" s="61" t="s">
        <v>377</v>
      </c>
      <c r="C33" s="65">
        <v>219</v>
      </c>
      <c r="D33" s="65">
        <v>42</v>
      </c>
      <c r="E33" s="67">
        <v>236</v>
      </c>
      <c r="F33" s="68">
        <f t="shared" si="0"/>
        <v>25</v>
      </c>
      <c r="G33" s="69">
        <v>38.81</v>
      </c>
      <c r="H33" s="65">
        <f t="shared" si="1"/>
        <v>970.25</v>
      </c>
      <c r="I33" s="119">
        <v>0</v>
      </c>
      <c r="J33" s="107" t="str">
        <f t="shared" si="2"/>
        <v/>
      </c>
      <c r="K33" s="16"/>
    </row>
    <row r="34" spans="1:11" ht="13.7" customHeight="1">
      <c r="A34" s="69">
        <v>31033</v>
      </c>
      <c r="B34" s="61" t="s">
        <v>378</v>
      </c>
      <c r="C34" s="65">
        <v>0</v>
      </c>
      <c r="D34" s="65">
        <v>0</v>
      </c>
      <c r="E34" s="67">
        <v>0</v>
      </c>
      <c r="F34" s="68">
        <f t="shared" si="0"/>
        <v>0</v>
      </c>
      <c r="G34" s="69">
        <v>15.28</v>
      </c>
      <c r="H34" s="65">
        <f t="shared" si="1"/>
        <v>0</v>
      </c>
      <c r="I34" s="67">
        <v>0</v>
      </c>
      <c r="J34" s="107" t="str">
        <f t="shared" si="2"/>
        <v/>
      </c>
      <c r="K34" s="16"/>
    </row>
    <row r="35" spans="1:11" ht="13.7" customHeight="1">
      <c r="A35" s="69">
        <v>33009</v>
      </c>
      <c r="B35" s="72" t="s">
        <v>379</v>
      </c>
      <c r="C35" s="65">
        <v>0</v>
      </c>
      <c r="D35" s="65">
        <v>0</v>
      </c>
      <c r="E35" s="67">
        <v>0</v>
      </c>
      <c r="F35" s="68">
        <f t="shared" si="0"/>
        <v>0</v>
      </c>
      <c r="G35" s="69">
        <v>20.48</v>
      </c>
      <c r="H35" s="65">
        <f t="shared" si="1"/>
        <v>0</v>
      </c>
      <c r="I35" s="121">
        <v>0</v>
      </c>
      <c r="J35" s="107" t="str">
        <f t="shared" si="2"/>
        <v/>
      </c>
      <c r="K35" s="16"/>
    </row>
    <row r="36" spans="1:11" ht="13.7" customHeight="1">
      <c r="A36" s="69">
        <v>43067</v>
      </c>
      <c r="B36" s="72" t="s">
        <v>453</v>
      </c>
      <c r="C36" s="65">
        <v>200</v>
      </c>
      <c r="D36" s="65">
        <v>0</v>
      </c>
      <c r="E36" s="67">
        <v>0</v>
      </c>
      <c r="F36" s="68">
        <f t="shared" si="0"/>
        <v>200</v>
      </c>
      <c r="G36" s="69">
        <v>44.92</v>
      </c>
      <c r="H36" s="65">
        <f t="shared" si="1"/>
        <v>8984</v>
      </c>
      <c r="I36" s="67">
        <v>0</v>
      </c>
      <c r="J36" s="107" t="str">
        <f t="shared" si="2"/>
        <v/>
      </c>
      <c r="K36" s="16"/>
    </row>
    <row r="37" spans="1:11" ht="13.7" customHeight="1">
      <c r="A37" s="69">
        <v>43069</v>
      </c>
      <c r="B37" s="72" t="s">
        <v>447</v>
      </c>
      <c r="C37" s="65">
        <v>0</v>
      </c>
      <c r="D37" s="65">
        <v>0</v>
      </c>
      <c r="E37" s="67">
        <v>0</v>
      </c>
      <c r="F37" s="68">
        <f t="shared" si="0"/>
        <v>0</v>
      </c>
      <c r="G37" s="69">
        <v>46.11</v>
      </c>
      <c r="H37" s="65">
        <f t="shared" si="1"/>
        <v>0</v>
      </c>
      <c r="I37" s="121">
        <v>0</v>
      </c>
      <c r="J37" s="107" t="str">
        <f t="shared" si="2"/>
        <v/>
      </c>
      <c r="K37" s="16"/>
    </row>
    <row r="38" spans="1:11" ht="13.7" customHeight="1">
      <c r="A38" s="69">
        <v>43070</v>
      </c>
      <c r="B38" s="72" t="s">
        <v>447</v>
      </c>
      <c r="C38" s="65">
        <v>0</v>
      </c>
      <c r="D38" s="65">
        <v>0</v>
      </c>
      <c r="E38" s="67">
        <v>0</v>
      </c>
      <c r="F38" s="68">
        <f t="shared" si="0"/>
        <v>0</v>
      </c>
      <c r="G38" s="69">
        <v>51.24</v>
      </c>
      <c r="H38" s="65">
        <f t="shared" si="1"/>
        <v>0</v>
      </c>
      <c r="I38" s="121">
        <v>0</v>
      </c>
      <c r="J38" s="107" t="str">
        <f t="shared" si="2"/>
        <v/>
      </c>
      <c r="K38" s="16"/>
    </row>
    <row r="39" spans="1:11" ht="13.7" customHeight="1">
      <c r="A39" s="69">
        <v>45091</v>
      </c>
      <c r="B39" s="72" t="s">
        <v>515</v>
      </c>
      <c r="C39" s="65">
        <v>35</v>
      </c>
      <c r="D39" s="65"/>
      <c r="E39" s="67"/>
      <c r="F39" s="68">
        <f t="shared" si="0"/>
        <v>35</v>
      </c>
      <c r="G39" s="69">
        <v>47.62</v>
      </c>
      <c r="H39" s="65">
        <f t="shared" si="1"/>
        <v>1666.6999999999998</v>
      </c>
      <c r="I39" s="121">
        <v>0</v>
      </c>
      <c r="J39" s="107" t="str">
        <f t="shared" si="2"/>
        <v/>
      </c>
      <c r="K39" s="16"/>
    </row>
    <row r="40" spans="1:11" ht="15" customHeight="1">
      <c r="A40" s="69">
        <v>43099</v>
      </c>
      <c r="B40" s="72" t="s">
        <v>480</v>
      </c>
      <c r="C40" s="65">
        <v>56</v>
      </c>
      <c r="D40" s="65"/>
      <c r="E40" s="67"/>
      <c r="F40" s="68">
        <f t="shared" si="0"/>
        <v>56</v>
      </c>
      <c r="G40" s="69">
        <v>26.78</v>
      </c>
      <c r="H40" s="65">
        <f t="shared" si="1"/>
        <v>1499.68</v>
      </c>
      <c r="I40" s="121">
        <v>0</v>
      </c>
      <c r="J40" s="107" t="str">
        <f t="shared" si="2"/>
        <v/>
      </c>
      <c r="K40" s="16"/>
    </row>
    <row r="41" spans="1:11" ht="15" customHeight="1">
      <c r="A41" s="117" t="s">
        <v>381</v>
      </c>
      <c r="B41" s="72" t="s">
        <v>386</v>
      </c>
      <c r="C41" s="65">
        <v>300</v>
      </c>
      <c r="D41" s="65">
        <v>0</v>
      </c>
      <c r="E41" s="67">
        <v>300</v>
      </c>
      <c r="F41" s="68">
        <f t="shared" si="0"/>
        <v>0</v>
      </c>
      <c r="G41" s="69">
        <v>23</v>
      </c>
      <c r="H41" s="65">
        <f t="shared" si="1"/>
        <v>0</v>
      </c>
      <c r="I41" s="120">
        <v>100</v>
      </c>
      <c r="J41" s="107" t="str">
        <f t="shared" si="2"/>
        <v>Y</v>
      </c>
      <c r="K41" s="16"/>
    </row>
    <row r="42" spans="1:11" ht="13.7" customHeight="1">
      <c r="A42" s="117" t="s">
        <v>381</v>
      </c>
      <c r="B42" s="72" t="s">
        <v>466</v>
      </c>
      <c r="C42" s="65">
        <v>0</v>
      </c>
      <c r="D42" s="65"/>
      <c r="E42" s="67">
        <v>0</v>
      </c>
      <c r="F42" s="68">
        <f t="shared" si="0"/>
        <v>0</v>
      </c>
      <c r="G42" s="69">
        <v>18</v>
      </c>
      <c r="H42" s="65">
        <f t="shared" si="1"/>
        <v>0</v>
      </c>
      <c r="I42" s="120">
        <v>100</v>
      </c>
      <c r="J42" s="107" t="str">
        <f t="shared" si="2"/>
        <v>Y</v>
      </c>
      <c r="K42" s="16"/>
    </row>
    <row r="43" spans="1:11" ht="15" customHeight="1">
      <c r="A43" s="117" t="s">
        <v>381</v>
      </c>
      <c r="B43" s="72" t="s">
        <v>385</v>
      </c>
      <c r="C43" s="65">
        <v>0</v>
      </c>
      <c r="D43" s="65">
        <v>0</v>
      </c>
      <c r="E43" s="67">
        <v>0</v>
      </c>
      <c r="F43" s="68">
        <f t="shared" si="0"/>
        <v>0</v>
      </c>
      <c r="G43" s="69">
        <v>12</v>
      </c>
      <c r="H43" s="65">
        <f t="shared" si="1"/>
        <v>0</v>
      </c>
      <c r="I43" s="120">
        <v>100</v>
      </c>
      <c r="J43" s="107" t="str">
        <f t="shared" si="2"/>
        <v>Y</v>
      </c>
      <c r="K43" s="16"/>
    </row>
    <row r="44" spans="1:11" ht="15" customHeight="1">
      <c r="A44" s="117" t="s">
        <v>381</v>
      </c>
      <c r="B44" s="72" t="s">
        <v>382</v>
      </c>
      <c r="C44" s="65">
        <v>600</v>
      </c>
      <c r="D44" s="65">
        <v>0</v>
      </c>
      <c r="E44" s="67">
        <v>0</v>
      </c>
      <c r="F44" s="68">
        <f t="shared" si="0"/>
        <v>600</v>
      </c>
      <c r="G44" s="69">
        <v>40.21</v>
      </c>
      <c r="H44" s="65">
        <f t="shared" si="1"/>
        <v>24126</v>
      </c>
      <c r="I44" s="120">
        <v>500</v>
      </c>
      <c r="J44" s="107" t="str">
        <f t="shared" si="2"/>
        <v/>
      </c>
      <c r="K44" s="16"/>
    </row>
    <row r="45" spans="1:11" ht="13.7" customHeight="1">
      <c r="A45" s="117" t="s">
        <v>381</v>
      </c>
      <c r="B45" s="72" t="s">
        <v>387</v>
      </c>
      <c r="C45" s="65">
        <v>24000</v>
      </c>
      <c r="D45" s="65">
        <v>0</v>
      </c>
      <c r="E45" s="67">
        <v>0</v>
      </c>
      <c r="F45" s="68">
        <f t="shared" si="0"/>
        <v>24000</v>
      </c>
      <c r="G45" s="69">
        <v>10</v>
      </c>
      <c r="H45" s="65">
        <f t="shared" si="1"/>
        <v>240000</v>
      </c>
      <c r="I45" s="120">
        <v>1000</v>
      </c>
      <c r="J45" s="107" t="str">
        <f t="shared" si="2"/>
        <v/>
      </c>
      <c r="K45" s="16"/>
    </row>
    <row r="46" spans="1:11" ht="15" customHeight="1">
      <c r="A46" s="117" t="s">
        <v>381</v>
      </c>
      <c r="B46" s="71" t="s">
        <v>383</v>
      </c>
      <c r="C46" s="65">
        <v>510</v>
      </c>
      <c r="D46" s="65">
        <v>0</v>
      </c>
      <c r="E46" s="67">
        <v>0</v>
      </c>
      <c r="F46" s="68">
        <f t="shared" si="0"/>
        <v>510</v>
      </c>
      <c r="G46" s="69">
        <v>35</v>
      </c>
      <c r="H46" s="65">
        <f t="shared" si="1"/>
        <v>17850</v>
      </c>
      <c r="I46" s="119">
        <v>0</v>
      </c>
      <c r="J46" s="107" t="str">
        <f t="shared" si="2"/>
        <v/>
      </c>
      <c r="K46" s="16"/>
    </row>
    <row r="47" spans="1:11" ht="15" customHeight="1">
      <c r="A47" s="117" t="s">
        <v>381</v>
      </c>
      <c r="B47" s="72" t="s">
        <v>384</v>
      </c>
      <c r="C47" s="65">
        <v>2475</v>
      </c>
      <c r="D47" s="65">
        <v>0</v>
      </c>
      <c r="E47" s="67">
        <v>0</v>
      </c>
      <c r="F47" s="68">
        <f t="shared" si="0"/>
        <v>2475</v>
      </c>
      <c r="G47" s="69">
        <v>10</v>
      </c>
      <c r="H47" s="65">
        <f t="shared" si="1"/>
        <v>24750</v>
      </c>
      <c r="I47" s="119">
        <v>0</v>
      </c>
      <c r="J47" s="107" t="str">
        <f t="shared" si="2"/>
        <v/>
      </c>
      <c r="K47" s="16"/>
    </row>
    <row r="48" spans="1:11" ht="15" customHeight="1">
      <c r="A48" s="117" t="s">
        <v>381</v>
      </c>
      <c r="B48" s="72" t="s">
        <v>486</v>
      </c>
      <c r="C48" s="65">
        <v>1600</v>
      </c>
      <c r="D48" s="65">
        <v>0</v>
      </c>
      <c r="E48" s="67">
        <v>500</v>
      </c>
      <c r="F48" s="68">
        <f t="shared" si="0"/>
        <v>1100</v>
      </c>
      <c r="G48" s="69">
        <v>19.8</v>
      </c>
      <c r="H48" s="65">
        <f t="shared" si="1"/>
        <v>21780</v>
      </c>
      <c r="I48" s="119">
        <v>0</v>
      </c>
      <c r="J48" s="107" t="str">
        <f t="shared" si="2"/>
        <v/>
      </c>
      <c r="K48" s="16"/>
    </row>
    <row r="49" spans="1:11" ht="13.7" customHeight="1">
      <c r="A49" s="117" t="s">
        <v>381</v>
      </c>
      <c r="B49" s="72" t="s">
        <v>465</v>
      </c>
      <c r="C49" s="65">
        <v>800</v>
      </c>
      <c r="D49" s="65"/>
      <c r="E49" s="67">
        <v>800</v>
      </c>
      <c r="F49" s="68">
        <f t="shared" si="0"/>
        <v>0</v>
      </c>
      <c r="G49" s="69">
        <v>18</v>
      </c>
      <c r="H49" s="65">
        <f t="shared" si="1"/>
        <v>0</v>
      </c>
      <c r="I49" s="119">
        <v>0</v>
      </c>
      <c r="J49" s="107" t="str">
        <f t="shared" si="2"/>
        <v/>
      </c>
      <c r="K49" s="16"/>
    </row>
    <row r="50" spans="1:11" ht="13.7" customHeight="1">
      <c r="A50" s="117" t="s">
        <v>381</v>
      </c>
      <c r="B50" s="78" t="s">
        <v>513</v>
      </c>
      <c r="C50" s="65">
        <v>1050</v>
      </c>
      <c r="D50" s="65">
        <v>3600</v>
      </c>
      <c r="E50" s="67">
        <v>1250</v>
      </c>
      <c r="F50" s="68">
        <f t="shared" si="0"/>
        <v>3400</v>
      </c>
      <c r="G50" s="69">
        <v>24.39</v>
      </c>
      <c r="H50" s="65">
        <f t="shared" si="1"/>
        <v>82926</v>
      </c>
      <c r="I50" s="119">
        <v>2000</v>
      </c>
      <c r="J50" s="107" t="str">
        <f t="shared" si="2"/>
        <v/>
      </c>
      <c r="K50" s="16"/>
    </row>
    <row r="51" spans="1:11" ht="13.7" customHeight="1">
      <c r="A51" s="117" t="s">
        <v>388</v>
      </c>
      <c r="B51" s="72" t="s">
        <v>479</v>
      </c>
      <c r="C51" s="65">
        <v>204</v>
      </c>
      <c r="D51" s="65">
        <v>0</v>
      </c>
      <c r="E51" s="67">
        <v>204</v>
      </c>
      <c r="F51" s="68">
        <f t="shared" si="0"/>
        <v>0</v>
      </c>
      <c r="G51" s="69">
        <v>57.33</v>
      </c>
      <c r="H51" s="65">
        <f t="shared" si="1"/>
        <v>0</v>
      </c>
      <c r="I51" s="120">
        <v>0</v>
      </c>
      <c r="J51" s="107" t="str">
        <f t="shared" si="2"/>
        <v/>
      </c>
      <c r="K51" s="16"/>
    </row>
    <row r="52" spans="1:11" ht="13.7" customHeight="1">
      <c r="A52" s="117" t="s">
        <v>133</v>
      </c>
      <c r="B52" s="72" t="s">
        <v>414</v>
      </c>
      <c r="C52" s="65">
        <v>310</v>
      </c>
      <c r="D52" s="65">
        <v>0</v>
      </c>
      <c r="E52" s="67">
        <v>0</v>
      </c>
      <c r="F52" s="68">
        <f t="shared" si="0"/>
        <v>310</v>
      </c>
      <c r="G52" s="69">
        <v>37</v>
      </c>
      <c r="H52" s="65">
        <f t="shared" si="1"/>
        <v>11470</v>
      </c>
      <c r="I52" s="67">
        <v>100</v>
      </c>
      <c r="J52" s="107" t="str">
        <f t="shared" si="2"/>
        <v/>
      </c>
      <c r="K52" s="16"/>
    </row>
    <row r="53" spans="1:11" ht="14.25" customHeight="1">
      <c r="A53" s="117" t="s">
        <v>133</v>
      </c>
      <c r="B53" s="72" t="s">
        <v>416</v>
      </c>
      <c r="C53" s="65">
        <v>65</v>
      </c>
      <c r="D53" s="65">
        <v>0</v>
      </c>
      <c r="E53" s="67">
        <v>0</v>
      </c>
      <c r="F53" s="68">
        <f t="shared" si="0"/>
        <v>65</v>
      </c>
      <c r="G53" s="69">
        <v>42</v>
      </c>
      <c r="H53" s="65">
        <f t="shared" si="1"/>
        <v>2730</v>
      </c>
      <c r="I53" s="67">
        <v>100</v>
      </c>
      <c r="J53" s="107" t="str">
        <f t="shared" si="2"/>
        <v>Y</v>
      </c>
      <c r="K53" s="16"/>
    </row>
    <row r="54" spans="1:11" ht="13.7" customHeight="1">
      <c r="A54" s="117" t="s">
        <v>133</v>
      </c>
      <c r="B54" s="72" t="s">
        <v>415</v>
      </c>
      <c r="C54" s="65">
        <v>440</v>
      </c>
      <c r="D54" s="65">
        <v>0</v>
      </c>
      <c r="E54" s="67">
        <v>0</v>
      </c>
      <c r="F54" s="68">
        <f t="shared" si="0"/>
        <v>440</v>
      </c>
      <c r="G54" s="69">
        <v>42</v>
      </c>
      <c r="H54" s="65">
        <f t="shared" si="1"/>
        <v>18480</v>
      </c>
      <c r="I54" s="67">
        <v>100</v>
      </c>
      <c r="J54" s="107" t="str">
        <f t="shared" si="2"/>
        <v/>
      </c>
      <c r="K54" s="16"/>
    </row>
    <row r="55" spans="1:11" ht="13.7" customHeight="1">
      <c r="A55" s="117" t="s">
        <v>133</v>
      </c>
      <c r="B55" s="72" t="s">
        <v>380</v>
      </c>
      <c r="C55" s="65">
        <v>1000</v>
      </c>
      <c r="D55" s="65">
        <v>0</v>
      </c>
      <c r="E55" s="67">
        <v>1000</v>
      </c>
      <c r="F55" s="68">
        <f t="shared" si="0"/>
        <v>0</v>
      </c>
      <c r="G55" s="69">
        <v>29.4</v>
      </c>
      <c r="H55" s="65">
        <f t="shared" si="1"/>
        <v>0</v>
      </c>
      <c r="I55" s="67">
        <v>500</v>
      </c>
      <c r="J55" s="107" t="str">
        <f t="shared" si="2"/>
        <v>Y</v>
      </c>
      <c r="K55" s="16"/>
    </row>
    <row r="56" spans="1:11" ht="14.25" customHeight="1">
      <c r="A56" s="117" t="s">
        <v>133</v>
      </c>
      <c r="B56" s="72" t="s">
        <v>473</v>
      </c>
      <c r="C56" s="65">
        <v>105</v>
      </c>
      <c r="D56" s="65">
        <v>0</v>
      </c>
      <c r="E56" s="67">
        <v>0</v>
      </c>
      <c r="F56" s="68">
        <f t="shared" si="0"/>
        <v>105</v>
      </c>
      <c r="G56" s="69">
        <v>43</v>
      </c>
      <c r="H56" s="65">
        <f t="shared" si="1"/>
        <v>4515</v>
      </c>
      <c r="I56" s="119">
        <v>50</v>
      </c>
      <c r="J56" s="107" t="str">
        <f t="shared" si="2"/>
        <v/>
      </c>
      <c r="K56" s="16"/>
    </row>
    <row r="57" spans="1:11" ht="15" customHeight="1">
      <c r="A57" s="117" t="s">
        <v>62</v>
      </c>
      <c r="B57" s="72" t="s">
        <v>477</v>
      </c>
      <c r="C57" s="65">
        <v>64</v>
      </c>
      <c r="D57" s="65">
        <v>0</v>
      </c>
      <c r="E57" s="67">
        <v>0</v>
      </c>
      <c r="F57" s="68">
        <f t="shared" si="0"/>
        <v>64</v>
      </c>
      <c r="G57" s="69">
        <v>55.8</v>
      </c>
      <c r="H57" s="65">
        <f t="shared" si="1"/>
        <v>3571.2</v>
      </c>
      <c r="I57" s="119">
        <v>100</v>
      </c>
      <c r="J57" s="107" t="str">
        <f t="shared" si="2"/>
        <v>Y</v>
      </c>
      <c r="K57" s="16"/>
    </row>
    <row r="58" spans="1:11" ht="14.25" customHeight="1">
      <c r="A58" s="117" t="s">
        <v>62</v>
      </c>
      <c r="B58" s="72" t="s">
        <v>481</v>
      </c>
      <c r="C58" s="65"/>
      <c r="D58" s="65"/>
      <c r="E58" s="67"/>
      <c r="F58" s="68">
        <f t="shared" si="0"/>
        <v>0</v>
      </c>
      <c r="G58" s="69">
        <v>46.78</v>
      </c>
      <c r="H58" s="65">
        <f t="shared" si="1"/>
        <v>0</v>
      </c>
      <c r="I58" s="119">
        <v>0</v>
      </c>
      <c r="J58" s="107" t="str">
        <f t="shared" si="2"/>
        <v/>
      </c>
      <c r="K58" s="16"/>
    </row>
    <row r="59" spans="1:11" ht="14.25" customHeight="1">
      <c r="A59" s="63" t="s">
        <v>345</v>
      </c>
      <c r="B59" s="61" t="s">
        <v>476</v>
      </c>
      <c r="C59" s="65">
        <v>60</v>
      </c>
      <c r="D59" s="65">
        <v>0</v>
      </c>
      <c r="E59" s="67">
        <v>0</v>
      </c>
      <c r="F59" s="68">
        <f t="shared" si="0"/>
        <v>60</v>
      </c>
      <c r="G59" s="69">
        <v>110</v>
      </c>
      <c r="H59" s="65">
        <f t="shared" si="1"/>
        <v>6600</v>
      </c>
      <c r="I59" s="120"/>
      <c r="J59" s="107" t="str">
        <f t="shared" si="2"/>
        <v/>
      </c>
      <c r="K59" s="16"/>
    </row>
    <row r="60" spans="1:11" ht="13.7" customHeight="1">
      <c r="A60" s="63" t="s">
        <v>345</v>
      </c>
      <c r="B60" s="61" t="s">
        <v>443</v>
      </c>
      <c r="C60" s="65">
        <v>0</v>
      </c>
      <c r="D60" s="65">
        <v>0</v>
      </c>
      <c r="E60" s="67">
        <v>0</v>
      </c>
      <c r="F60" s="68">
        <f t="shared" si="0"/>
        <v>0</v>
      </c>
      <c r="G60" s="69">
        <v>185</v>
      </c>
      <c r="H60" s="65">
        <f t="shared" si="1"/>
        <v>0</v>
      </c>
      <c r="I60" s="120"/>
      <c r="J60" s="107" t="str">
        <f t="shared" si="2"/>
        <v/>
      </c>
      <c r="K60" s="16"/>
    </row>
    <row r="61" spans="1:11" ht="13.7" customHeight="1">
      <c r="A61" s="63" t="s">
        <v>345</v>
      </c>
      <c r="B61" s="61" t="s">
        <v>393</v>
      </c>
      <c r="C61" s="65">
        <v>0</v>
      </c>
      <c r="D61" s="65">
        <v>0</v>
      </c>
      <c r="E61" s="67">
        <v>0</v>
      </c>
      <c r="F61" s="68">
        <f t="shared" si="0"/>
        <v>0</v>
      </c>
      <c r="G61" s="69">
        <v>155</v>
      </c>
      <c r="H61" s="65">
        <f t="shared" si="1"/>
        <v>0</v>
      </c>
      <c r="I61" s="120"/>
      <c r="J61" s="107" t="str">
        <f t="shared" si="2"/>
        <v/>
      </c>
      <c r="K61" s="16"/>
    </row>
    <row r="62" spans="1:11" ht="13.7" customHeight="1">
      <c r="A62" s="63" t="s">
        <v>345</v>
      </c>
      <c r="B62" s="61" t="s">
        <v>394</v>
      </c>
      <c r="C62" s="65">
        <v>126</v>
      </c>
      <c r="D62" s="65">
        <v>0</v>
      </c>
      <c r="E62" s="67">
        <v>0</v>
      </c>
      <c r="F62" s="68">
        <f t="shared" si="0"/>
        <v>126</v>
      </c>
      <c r="G62" s="69">
        <v>190</v>
      </c>
      <c r="H62" s="65">
        <f t="shared" si="1"/>
        <v>23940</v>
      </c>
      <c r="I62" s="120"/>
      <c r="J62" s="107" t="str">
        <f t="shared" si="2"/>
        <v/>
      </c>
      <c r="K62" s="16"/>
    </row>
    <row r="63" spans="1:11" ht="13.7" customHeight="1">
      <c r="A63" s="63" t="s">
        <v>345</v>
      </c>
      <c r="B63" s="61" t="s">
        <v>395</v>
      </c>
      <c r="C63" s="65">
        <v>0</v>
      </c>
      <c r="D63" s="65">
        <v>0</v>
      </c>
      <c r="E63" s="67">
        <v>0</v>
      </c>
      <c r="F63" s="68">
        <f t="shared" si="0"/>
        <v>0</v>
      </c>
      <c r="G63" s="69">
        <v>185</v>
      </c>
      <c r="H63" s="65">
        <f t="shared" si="1"/>
        <v>0</v>
      </c>
      <c r="I63" s="120"/>
      <c r="J63" s="107" t="str">
        <f t="shared" si="2"/>
        <v/>
      </c>
      <c r="K63" s="16"/>
    </row>
    <row r="64" spans="1:11" ht="13.7" customHeight="1">
      <c r="A64" s="63" t="s">
        <v>345</v>
      </c>
      <c r="B64" s="61" t="s">
        <v>397</v>
      </c>
      <c r="C64" s="65">
        <v>116</v>
      </c>
      <c r="D64" s="65">
        <v>0</v>
      </c>
      <c r="E64" s="67">
        <v>0</v>
      </c>
      <c r="F64" s="68">
        <f t="shared" si="0"/>
        <v>116</v>
      </c>
      <c r="G64" s="69">
        <v>80</v>
      </c>
      <c r="H64" s="65">
        <f t="shared" si="1"/>
        <v>9280</v>
      </c>
      <c r="I64" s="120"/>
      <c r="J64" s="107" t="str">
        <f t="shared" si="2"/>
        <v/>
      </c>
      <c r="K64" s="16"/>
    </row>
    <row r="65" spans="1:11" ht="13.7" customHeight="1">
      <c r="A65" s="63" t="s">
        <v>345</v>
      </c>
      <c r="B65" s="61" t="s">
        <v>398</v>
      </c>
      <c r="C65" s="65">
        <v>0</v>
      </c>
      <c r="D65" s="65">
        <v>0</v>
      </c>
      <c r="E65" s="67">
        <v>0</v>
      </c>
      <c r="F65" s="68">
        <f t="shared" si="0"/>
        <v>0</v>
      </c>
      <c r="G65" s="69">
        <v>70</v>
      </c>
      <c r="H65" s="65">
        <f t="shared" si="1"/>
        <v>0</v>
      </c>
      <c r="I65" s="120"/>
      <c r="J65" s="107" t="str">
        <f t="shared" si="2"/>
        <v/>
      </c>
      <c r="K65" s="16"/>
    </row>
    <row r="66" spans="1:11" ht="13.7" customHeight="1">
      <c r="A66" s="63" t="s">
        <v>345</v>
      </c>
      <c r="B66" s="61" t="s">
        <v>399</v>
      </c>
      <c r="C66" s="65">
        <v>200</v>
      </c>
      <c r="D66" s="65">
        <v>500</v>
      </c>
      <c r="E66" s="67">
        <v>25</v>
      </c>
      <c r="F66" s="68">
        <f t="shared" si="0"/>
        <v>675</v>
      </c>
      <c r="G66" s="69">
        <v>40</v>
      </c>
      <c r="H66" s="65">
        <f t="shared" si="1"/>
        <v>27000</v>
      </c>
      <c r="I66" s="120"/>
      <c r="J66" s="107" t="str">
        <f t="shared" ref="J66:J124" si="3">IF(I66&gt;F66,"Y","")</f>
        <v/>
      </c>
      <c r="K66" s="16"/>
    </row>
    <row r="67" spans="1:11" ht="13.7" customHeight="1">
      <c r="A67" s="63" t="s">
        <v>345</v>
      </c>
      <c r="B67" s="61" t="s">
        <v>354</v>
      </c>
      <c r="C67" s="65">
        <v>0</v>
      </c>
      <c r="D67" s="65">
        <v>0</v>
      </c>
      <c r="E67" s="67">
        <v>0</v>
      </c>
      <c r="F67" s="68">
        <f t="shared" si="0"/>
        <v>0</v>
      </c>
      <c r="G67" s="69">
        <v>286</v>
      </c>
      <c r="H67" s="65">
        <f t="shared" si="1"/>
        <v>0</v>
      </c>
      <c r="I67" s="120"/>
      <c r="J67" s="107" t="str">
        <f t="shared" si="3"/>
        <v/>
      </c>
      <c r="K67" s="16"/>
    </row>
    <row r="68" spans="1:11" ht="13.7" customHeight="1">
      <c r="A68" s="63" t="s">
        <v>345</v>
      </c>
      <c r="B68" s="61" t="s">
        <v>401</v>
      </c>
      <c r="C68" s="65">
        <v>0</v>
      </c>
      <c r="D68" s="65">
        <v>0</v>
      </c>
      <c r="E68" s="67">
        <v>0</v>
      </c>
      <c r="F68" s="68">
        <f t="shared" ref="F68:F124" si="4">C68+D68-E68</f>
        <v>0</v>
      </c>
      <c r="G68" s="69">
        <v>149</v>
      </c>
      <c r="H68" s="65">
        <f t="shared" ref="H68:H124" si="5">F68*G68</f>
        <v>0</v>
      </c>
      <c r="I68" s="120"/>
      <c r="J68" s="107" t="str">
        <f t="shared" si="3"/>
        <v/>
      </c>
      <c r="K68" s="16"/>
    </row>
    <row r="69" spans="1:11" ht="13.7" customHeight="1">
      <c r="A69" s="63" t="s">
        <v>345</v>
      </c>
      <c r="B69" s="61" t="s">
        <v>405</v>
      </c>
      <c r="C69" s="65">
        <v>55</v>
      </c>
      <c r="D69" s="65">
        <v>0</v>
      </c>
      <c r="E69" s="67">
        <v>0</v>
      </c>
      <c r="F69" s="68">
        <f t="shared" si="4"/>
        <v>55</v>
      </c>
      <c r="G69" s="69">
        <v>220</v>
      </c>
      <c r="H69" s="65">
        <f t="shared" si="5"/>
        <v>12100</v>
      </c>
      <c r="I69" s="120"/>
      <c r="J69" s="107" t="str">
        <f t="shared" si="3"/>
        <v/>
      </c>
      <c r="K69" s="16"/>
    </row>
    <row r="70" spans="1:11" ht="13.7" customHeight="1">
      <c r="A70" s="63" t="s">
        <v>345</v>
      </c>
      <c r="B70" s="61" t="s">
        <v>407</v>
      </c>
      <c r="C70" s="65">
        <v>28</v>
      </c>
      <c r="D70" s="65">
        <v>0</v>
      </c>
      <c r="E70" s="67">
        <v>0</v>
      </c>
      <c r="F70" s="68">
        <f t="shared" si="4"/>
        <v>28</v>
      </c>
      <c r="G70" s="69">
        <v>220</v>
      </c>
      <c r="H70" s="65">
        <f t="shared" si="5"/>
        <v>6160</v>
      </c>
      <c r="I70" s="120"/>
      <c r="J70" s="107" t="str">
        <f t="shared" si="3"/>
        <v/>
      </c>
      <c r="K70" s="16"/>
    </row>
    <row r="71" spans="1:11" ht="13.7" customHeight="1">
      <c r="A71" s="63" t="s">
        <v>345</v>
      </c>
      <c r="B71" s="61" t="s">
        <v>408</v>
      </c>
      <c r="C71" s="65">
        <v>60</v>
      </c>
      <c r="D71" s="65">
        <v>0</v>
      </c>
      <c r="E71" s="67">
        <v>0</v>
      </c>
      <c r="F71" s="68">
        <f t="shared" si="4"/>
        <v>60</v>
      </c>
      <c r="G71" s="69">
        <v>180</v>
      </c>
      <c r="H71" s="65">
        <f t="shared" si="5"/>
        <v>10800</v>
      </c>
      <c r="I71" s="120"/>
      <c r="J71" s="107" t="str">
        <f t="shared" si="3"/>
        <v/>
      </c>
      <c r="K71" s="16"/>
    </row>
    <row r="72" spans="1:11" ht="13.7" customHeight="1">
      <c r="A72" s="63" t="s">
        <v>345</v>
      </c>
      <c r="B72" s="61" t="s">
        <v>409</v>
      </c>
      <c r="C72" s="65">
        <v>60</v>
      </c>
      <c r="D72" s="65">
        <v>0</v>
      </c>
      <c r="E72" s="67">
        <v>0</v>
      </c>
      <c r="F72" s="68">
        <f t="shared" si="4"/>
        <v>60</v>
      </c>
      <c r="G72" s="69">
        <v>180</v>
      </c>
      <c r="H72" s="65">
        <f t="shared" si="5"/>
        <v>10800</v>
      </c>
      <c r="I72" s="120"/>
      <c r="J72" s="107" t="str">
        <f t="shared" si="3"/>
        <v/>
      </c>
      <c r="K72" s="16"/>
    </row>
    <row r="73" spans="1:11" ht="13.7" customHeight="1">
      <c r="A73" s="63" t="s">
        <v>345</v>
      </c>
      <c r="B73" s="61" t="s">
        <v>410</v>
      </c>
      <c r="C73" s="65">
        <v>600</v>
      </c>
      <c r="D73" s="65">
        <v>0</v>
      </c>
      <c r="E73" s="67">
        <v>0</v>
      </c>
      <c r="F73" s="68">
        <f t="shared" si="4"/>
        <v>600</v>
      </c>
      <c r="G73" s="69">
        <v>155</v>
      </c>
      <c r="H73" s="65">
        <f t="shared" si="5"/>
        <v>93000</v>
      </c>
      <c r="I73" s="120"/>
      <c r="J73" s="107" t="str">
        <f t="shared" si="3"/>
        <v/>
      </c>
      <c r="K73" s="16"/>
    </row>
    <row r="74" spans="1:11" ht="13.7" customHeight="1">
      <c r="A74" s="63" t="s">
        <v>345</v>
      </c>
      <c r="B74" s="61" t="s">
        <v>365</v>
      </c>
      <c r="C74" s="65">
        <v>125</v>
      </c>
      <c r="D74" s="65">
        <v>0</v>
      </c>
      <c r="E74" s="67">
        <v>0</v>
      </c>
      <c r="F74" s="68">
        <f t="shared" si="4"/>
        <v>125</v>
      </c>
      <c r="G74" s="69">
        <v>285</v>
      </c>
      <c r="H74" s="65">
        <f t="shared" si="5"/>
        <v>35625</v>
      </c>
      <c r="I74" s="119"/>
      <c r="J74" s="107" t="str">
        <f t="shared" si="3"/>
        <v/>
      </c>
      <c r="K74" s="16"/>
    </row>
    <row r="75" spans="1:11" ht="13.7" customHeight="1">
      <c r="A75" s="63" t="s">
        <v>345</v>
      </c>
      <c r="B75" s="61" t="s">
        <v>442</v>
      </c>
      <c r="C75" s="65">
        <v>112</v>
      </c>
      <c r="D75" s="65">
        <v>0</v>
      </c>
      <c r="E75" s="67">
        <v>0</v>
      </c>
      <c r="F75" s="68">
        <f t="shared" si="4"/>
        <v>112</v>
      </c>
      <c r="G75" s="69">
        <v>185</v>
      </c>
      <c r="H75" s="65">
        <f t="shared" si="5"/>
        <v>20720</v>
      </c>
      <c r="I75" s="119"/>
      <c r="J75" s="107" t="str">
        <f t="shared" si="3"/>
        <v/>
      </c>
      <c r="K75" s="16"/>
    </row>
    <row r="76" spans="1:11" ht="13.7" customHeight="1">
      <c r="A76" s="63" t="s">
        <v>345</v>
      </c>
      <c r="B76" s="61" t="s">
        <v>444</v>
      </c>
      <c r="C76" s="65">
        <v>30</v>
      </c>
      <c r="D76" s="65">
        <v>0</v>
      </c>
      <c r="E76" s="67">
        <v>0</v>
      </c>
      <c r="F76" s="68">
        <f t="shared" si="4"/>
        <v>30</v>
      </c>
      <c r="G76" s="69">
        <v>185</v>
      </c>
      <c r="H76" s="65">
        <f t="shared" si="5"/>
        <v>5550</v>
      </c>
      <c r="I76" s="119"/>
      <c r="J76" s="107" t="str">
        <f t="shared" si="3"/>
        <v/>
      </c>
      <c r="K76" s="16"/>
    </row>
    <row r="77" spans="1:11" ht="13.7" customHeight="1">
      <c r="A77" s="63" t="s">
        <v>345</v>
      </c>
      <c r="B77" s="61" t="s">
        <v>389</v>
      </c>
      <c r="C77" s="65">
        <v>31</v>
      </c>
      <c r="D77" s="65">
        <v>0</v>
      </c>
      <c r="E77" s="67">
        <v>0</v>
      </c>
      <c r="F77" s="68">
        <f t="shared" si="4"/>
        <v>31</v>
      </c>
      <c r="G77" s="69">
        <v>177</v>
      </c>
      <c r="H77" s="65">
        <f t="shared" si="5"/>
        <v>5487</v>
      </c>
      <c r="I77" s="119"/>
      <c r="J77" s="107" t="str">
        <f t="shared" si="3"/>
        <v/>
      </c>
      <c r="K77" s="16"/>
    </row>
    <row r="78" spans="1:11" ht="15" customHeight="1">
      <c r="A78" s="63" t="s">
        <v>345</v>
      </c>
      <c r="B78" s="61" t="s">
        <v>390</v>
      </c>
      <c r="C78" s="65">
        <v>86</v>
      </c>
      <c r="D78" s="65">
        <v>0</v>
      </c>
      <c r="E78" s="67">
        <v>0</v>
      </c>
      <c r="F78" s="68">
        <f t="shared" si="4"/>
        <v>86</v>
      </c>
      <c r="G78" s="69">
        <v>230</v>
      </c>
      <c r="H78" s="65">
        <f t="shared" si="5"/>
        <v>19780</v>
      </c>
      <c r="I78" s="119"/>
      <c r="J78" s="107" t="str">
        <f t="shared" si="3"/>
        <v/>
      </c>
      <c r="K78" s="16"/>
    </row>
    <row r="79" spans="1:11" ht="13.7" customHeight="1">
      <c r="A79" s="63" t="s">
        <v>345</v>
      </c>
      <c r="B79" s="61" t="s">
        <v>463</v>
      </c>
      <c r="C79" s="65">
        <v>371</v>
      </c>
      <c r="D79" s="65">
        <v>0</v>
      </c>
      <c r="E79" s="67">
        <v>0</v>
      </c>
      <c r="F79" s="68">
        <f t="shared" si="4"/>
        <v>371</v>
      </c>
      <c r="G79" s="69">
        <v>150</v>
      </c>
      <c r="H79" s="65">
        <f t="shared" si="5"/>
        <v>55650</v>
      </c>
      <c r="I79" s="119"/>
      <c r="J79" s="107" t="str">
        <f t="shared" si="3"/>
        <v/>
      </c>
      <c r="K79" s="16"/>
    </row>
    <row r="80" spans="1:11" ht="13.7" customHeight="1">
      <c r="A80" s="63" t="s">
        <v>345</v>
      </c>
      <c r="B80" s="61" t="s">
        <v>391</v>
      </c>
      <c r="C80" s="65">
        <v>36</v>
      </c>
      <c r="D80" s="65">
        <v>0</v>
      </c>
      <c r="E80" s="67">
        <v>0</v>
      </c>
      <c r="F80" s="68">
        <f t="shared" si="4"/>
        <v>36</v>
      </c>
      <c r="G80" s="69">
        <v>240</v>
      </c>
      <c r="H80" s="65">
        <f t="shared" si="5"/>
        <v>8640</v>
      </c>
      <c r="I80" s="119"/>
      <c r="J80" s="107" t="str">
        <f t="shared" si="3"/>
        <v/>
      </c>
      <c r="K80" s="16"/>
    </row>
    <row r="81" spans="1:11" ht="13.7" customHeight="1">
      <c r="A81" s="63" t="s">
        <v>345</v>
      </c>
      <c r="B81" s="61" t="s">
        <v>392</v>
      </c>
      <c r="C81" s="65">
        <v>1000</v>
      </c>
      <c r="D81" s="65">
        <v>0</v>
      </c>
      <c r="E81" s="67">
        <v>0</v>
      </c>
      <c r="F81" s="68">
        <f t="shared" si="4"/>
        <v>1000</v>
      </c>
      <c r="G81" s="69">
        <v>90</v>
      </c>
      <c r="H81" s="65">
        <f t="shared" si="5"/>
        <v>90000</v>
      </c>
      <c r="I81" s="119"/>
      <c r="J81" s="107" t="str">
        <f t="shared" si="3"/>
        <v/>
      </c>
      <c r="K81" s="16"/>
    </row>
    <row r="82" spans="1:11" ht="13.7" customHeight="1">
      <c r="A82" s="63" t="s">
        <v>345</v>
      </c>
      <c r="B82" s="66" t="s">
        <v>396</v>
      </c>
      <c r="C82" s="65">
        <v>402</v>
      </c>
      <c r="D82" s="65">
        <v>0</v>
      </c>
      <c r="E82" s="67">
        <v>0</v>
      </c>
      <c r="F82" s="68">
        <f t="shared" si="4"/>
        <v>402</v>
      </c>
      <c r="G82" s="69">
        <v>50</v>
      </c>
      <c r="H82" s="65">
        <f t="shared" si="5"/>
        <v>20100</v>
      </c>
      <c r="I82" s="119"/>
      <c r="J82" s="107" t="str">
        <f t="shared" si="3"/>
        <v/>
      </c>
      <c r="K82" s="16"/>
    </row>
    <row r="83" spans="1:11" ht="13.7" customHeight="1">
      <c r="A83" s="118" t="s">
        <v>345</v>
      </c>
      <c r="B83" s="20" t="s">
        <v>400</v>
      </c>
      <c r="C83" s="65">
        <v>120</v>
      </c>
      <c r="D83" s="65">
        <v>0</v>
      </c>
      <c r="E83" s="67">
        <v>25</v>
      </c>
      <c r="F83" s="68">
        <f t="shared" si="4"/>
        <v>95</v>
      </c>
      <c r="G83" s="75">
        <v>35</v>
      </c>
      <c r="H83" s="65">
        <f t="shared" si="5"/>
        <v>3325</v>
      </c>
      <c r="I83" s="119"/>
      <c r="J83" s="107" t="str">
        <f t="shared" si="3"/>
        <v/>
      </c>
      <c r="K83" s="16"/>
    </row>
    <row r="84" spans="1:11" ht="13.7" customHeight="1">
      <c r="A84" s="63" t="s">
        <v>345</v>
      </c>
      <c r="B84" s="70" t="s">
        <v>402</v>
      </c>
      <c r="C84" s="65">
        <v>25</v>
      </c>
      <c r="D84" s="65">
        <v>0</v>
      </c>
      <c r="E84" s="67">
        <v>0</v>
      </c>
      <c r="F84" s="68">
        <f t="shared" si="4"/>
        <v>25</v>
      </c>
      <c r="G84" s="76">
        <v>155</v>
      </c>
      <c r="H84" s="65">
        <f t="shared" si="5"/>
        <v>3875</v>
      </c>
      <c r="I84" s="119"/>
      <c r="J84" s="107" t="str">
        <f t="shared" si="3"/>
        <v/>
      </c>
      <c r="K84" s="16"/>
    </row>
    <row r="85" spans="1:11" ht="13.7" customHeight="1">
      <c r="A85" s="63" t="s">
        <v>345</v>
      </c>
      <c r="B85" s="61" t="s">
        <v>403</v>
      </c>
      <c r="C85" s="65">
        <v>82</v>
      </c>
      <c r="D85" s="65">
        <v>0</v>
      </c>
      <c r="E85" s="67">
        <v>0</v>
      </c>
      <c r="F85" s="68">
        <f t="shared" si="4"/>
        <v>82</v>
      </c>
      <c r="G85" s="76">
        <v>220</v>
      </c>
      <c r="H85" s="65">
        <f t="shared" si="5"/>
        <v>18040</v>
      </c>
      <c r="I85" s="62"/>
      <c r="J85" s="107" t="str">
        <f t="shared" si="3"/>
        <v/>
      </c>
      <c r="K85" s="16"/>
    </row>
    <row r="86" spans="1:11" ht="13.7" customHeight="1">
      <c r="A86" s="63" t="s">
        <v>345</v>
      </c>
      <c r="B86" s="61" t="s">
        <v>404</v>
      </c>
      <c r="C86" s="65">
        <v>124</v>
      </c>
      <c r="D86" s="65">
        <v>0</v>
      </c>
      <c r="E86" s="67">
        <v>0</v>
      </c>
      <c r="F86" s="68">
        <f t="shared" si="4"/>
        <v>124</v>
      </c>
      <c r="G86" s="76">
        <v>220</v>
      </c>
      <c r="H86" s="65">
        <f t="shared" si="5"/>
        <v>27280</v>
      </c>
      <c r="I86" s="62"/>
      <c r="J86" s="107" t="str">
        <f t="shared" si="3"/>
        <v/>
      </c>
      <c r="K86" s="16"/>
    </row>
    <row r="87" spans="1:11" ht="13.7" customHeight="1">
      <c r="A87" s="63" t="s">
        <v>345</v>
      </c>
      <c r="B87" s="61" t="s">
        <v>406</v>
      </c>
      <c r="C87" s="65">
        <v>60</v>
      </c>
      <c r="D87" s="65">
        <v>0</v>
      </c>
      <c r="E87" s="67">
        <v>0</v>
      </c>
      <c r="F87" s="68">
        <f t="shared" si="4"/>
        <v>60</v>
      </c>
      <c r="G87" s="76">
        <v>180</v>
      </c>
      <c r="H87" s="65">
        <f t="shared" si="5"/>
        <v>10800</v>
      </c>
      <c r="I87" s="119"/>
      <c r="J87" s="107" t="str">
        <f t="shared" si="3"/>
        <v/>
      </c>
      <c r="K87" s="16"/>
    </row>
    <row r="88" spans="1:11" ht="13.7" customHeight="1">
      <c r="A88" s="117" t="s">
        <v>345</v>
      </c>
      <c r="B88" s="61" t="s">
        <v>413</v>
      </c>
      <c r="C88" s="65">
        <v>24</v>
      </c>
      <c r="D88" s="65">
        <v>0</v>
      </c>
      <c r="E88" s="67">
        <v>0</v>
      </c>
      <c r="F88" s="68">
        <f t="shared" si="4"/>
        <v>24</v>
      </c>
      <c r="G88" s="77">
        <v>37</v>
      </c>
      <c r="H88" s="65">
        <f t="shared" si="5"/>
        <v>888</v>
      </c>
      <c r="I88" s="119"/>
      <c r="J88" s="107" t="str">
        <f t="shared" si="3"/>
        <v/>
      </c>
      <c r="K88" s="16"/>
    </row>
    <row r="89" spans="1:11" ht="13.7" customHeight="1">
      <c r="A89" s="63" t="s">
        <v>345</v>
      </c>
      <c r="B89" s="93" t="s">
        <v>514</v>
      </c>
      <c r="C89" s="65">
        <v>500</v>
      </c>
      <c r="D89" s="65">
        <v>0</v>
      </c>
      <c r="E89" s="67">
        <v>0</v>
      </c>
      <c r="F89" s="68">
        <f t="shared" si="4"/>
        <v>500</v>
      </c>
      <c r="G89" s="65">
        <v>85</v>
      </c>
      <c r="H89" s="65">
        <f t="shared" si="5"/>
        <v>42500</v>
      </c>
      <c r="I89" s="119"/>
      <c r="J89" s="107" t="str">
        <f t="shared" si="3"/>
        <v/>
      </c>
      <c r="K89" s="16"/>
    </row>
    <row r="90" spans="1:11" ht="13.7" customHeight="1">
      <c r="A90" s="63" t="s">
        <v>345</v>
      </c>
      <c r="B90" s="61" t="s">
        <v>417</v>
      </c>
      <c r="C90" s="65">
        <v>30</v>
      </c>
      <c r="D90" s="65">
        <v>0</v>
      </c>
      <c r="E90" s="67">
        <v>0</v>
      </c>
      <c r="F90" s="68">
        <f t="shared" si="4"/>
        <v>30</v>
      </c>
      <c r="G90" s="65">
        <v>215</v>
      </c>
      <c r="H90" s="65">
        <f t="shared" si="5"/>
        <v>6450</v>
      </c>
      <c r="I90" s="119"/>
      <c r="J90" s="107" t="str">
        <f t="shared" si="3"/>
        <v/>
      </c>
      <c r="K90" s="16"/>
    </row>
    <row r="91" spans="1:11" ht="13.7" customHeight="1">
      <c r="A91" s="63" t="s">
        <v>345</v>
      </c>
      <c r="B91" s="61" t="s">
        <v>418</v>
      </c>
      <c r="C91" s="65">
        <v>6</v>
      </c>
      <c r="D91" s="65">
        <v>0</v>
      </c>
      <c r="E91" s="67">
        <v>0</v>
      </c>
      <c r="F91" s="68">
        <f t="shared" si="4"/>
        <v>6</v>
      </c>
      <c r="G91" s="65">
        <v>200</v>
      </c>
      <c r="H91" s="65">
        <f t="shared" si="5"/>
        <v>1200</v>
      </c>
      <c r="I91" s="119"/>
      <c r="J91" s="107" t="str">
        <f t="shared" si="3"/>
        <v/>
      </c>
      <c r="K91" s="16"/>
    </row>
    <row r="92" spans="1:11" ht="13.7" customHeight="1">
      <c r="A92" s="63" t="s">
        <v>345</v>
      </c>
      <c r="B92" s="61" t="s">
        <v>419</v>
      </c>
      <c r="C92" s="65">
        <v>60</v>
      </c>
      <c r="D92" s="65">
        <v>0</v>
      </c>
      <c r="E92" s="67">
        <v>0</v>
      </c>
      <c r="F92" s="68">
        <f t="shared" si="4"/>
        <v>60</v>
      </c>
      <c r="G92" s="65">
        <v>210</v>
      </c>
      <c r="H92" s="65">
        <f t="shared" si="5"/>
        <v>12600</v>
      </c>
      <c r="I92" s="119"/>
      <c r="J92" s="107" t="str">
        <f t="shared" si="3"/>
        <v/>
      </c>
      <c r="K92" s="16"/>
    </row>
    <row r="93" spans="1:11" ht="13.7" customHeight="1">
      <c r="A93" s="63" t="s">
        <v>345</v>
      </c>
      <c r="B93" s="61" t="s">
        <v>528</v>
      </c>
      <c r="C93" s="65">
        <v>161</v>
      </c>
      <c r="D93" s="65">
        <v>0</v>
      </c>
      <c r="E93" s="67">
        <v>0</v>
      </c>
      <c r="F93" s="68">
        <f t="shared" si="4"/>
        <v>161</v>
      </c>
      <c r="G93" s="65">
        <v>210</v>
      </c>
      <c r="H93" s="65">
        <f t="shared" si="5"/>
        <v>33810</v>
      </c>
      <c r="I93" s="119"/>
      <c r="J93" s="107" t="str">
        <f t="shared" si="3"/>
        <v/>
      </c>
      <c r="K93" s="16"/>
    </row>
    <row r="94" spans="1:11" ht="13.7" customHeight="1">
      <c r="A94" s="63" t="s">
        <v>345</v>
      </c>
      <c r="B94" s="61" t="s">
        <v>420</v>
      </c>
      <c r="C94" s="65">
        <v>137</v>
      </c>
      <c r="D94" s="65">
        <v>0</v>
      </c>
      <c r="E94" s="67">
        <v>0</v>
      </c>
      <c r="F94" s="68">
        <f t="shared" si="4"/>
        <v>137</v>
      </c>
      <c r="G94" s="65">
        <v>250</v>
      </c>
      <c r="H94" s="65">
        <f t="shared" si="5"/>
        <v>34250</v>
      </c>
      <c r="I94" s="119"/>
      <c r="J94" s="107" t="str">
        <f t="shared" si="3"/>
        <v/>
      </c>
      <c r="K94" s="16"/>
    </row>
    <row r="95" spans="1:11" ht="13.7" customHeight="1">
      <c r="A95" s="95" t="s">
        <v>345</v>
      </c>
      <c r="B95" s="64" t="s">
        <v>448</v>
      </c>
      <c r="C95" s="65">
        <v>40</v>
      </c>
      <c r="D95" s="65">
        <v>0</v>
      </c>
      <c r="E95" s="67">
        <v>0</v>
      </c>
      <c r="F95" s="68">
        <f t="shared" si="4"/>
        <v>40</v>
      </c>
      <c r="G95" s="64">
        <v>20</v>
      </c>
      <c r="H95" s="65">
        <f t="shared" si="5"/>
        <v>800</v>
      </c>
      <c r="I95" s="119"/>
      <c r="J95" s="107" t="str">
        <f t="shared" si="3"/>
        <v/>
      </c>
      <c r="K95" s="16"/>
    </row>
    <row r="96" spans="1:11" ht="13.7" customHeight="1">
      <c r="A96" s="95" t="s">
        <v>345</v>
      </c>
      <c r="B96" s="64" t="s">
        <v>449</v>
      </c>
      <c r="C96" s="65">
        <v>450</v>
      </c>
      <c r="D96" s="65">
        <v>0</v>
      </c>
      <c r="E96" s="67">
        <v>0</v>
      </c>
      <c r="F96" s="68">
        <f t="shared" si="4"/>
        <v>450</v>
      </c>
      <c r="G96" s="64">
        <v>5</v>
      </c>
      <c r="H96" s="65">
        <f t="shared" si="5"/>
        <v>2250</v>
      </c>
      <c r="I96" s="119"/>
      <c r="J96" s="107" t="str">
        <f t="shared" si="3"/>
        <v/>
      </c>
      <c r="K96" s="16"/>
    </row>
    <row r="97" spans="1:11" ht="13.7" customHeight="1">
      <c r="A97" s="63" t="s">
        <v>345</v>
      </c>
      <c r="B97" s="61" t="s">
        <v>425</v>
      </c>
      <c r="C97" s="65">
        <v>45</v>
      </c>
      <c r="D97" s="65">
        <v>0</v>
      </c>
      <c r="E97" s="67">
        <v>0</v>
      </c>
      <c r="F97" s="68">
        <f t="shared" si="4"/>
        <v>45</v>
      </c>
      <c r="G97" s="65">
        <v>190</v>
      </c>
      <c r="H97" s="65">
        <f t="shared" si="5"/>
        <v>8550</v>
      </c>
      <c r="I97" s="119"/>
      <c r="J97" s="107" t="str">
        <f t="shared" si="3"/>
        <v/>
      </c>
      <c r="K97" s="16"/>
    </row>
    <row r="98" spans="1:11" ht="13.7" customHeight="1">
      <c r="A98" s="63" t="s">
        <v>411</v>
      </c>
      <c r="B98" s="61" t="s">
        <v>527</v>
      </c>
      <c r="C98" s="65">
        <v>33</v>
      </c>
      <c r="D98" s="65">
        <v>0</v>
      </c>
      <c r="E98" s="67">
        <v>0</v>
      </c>
      <c r="F98" s="68">
        <f t="shared" si="4"/>
        <v>33</v>
      </c>
      <c r="G98" s="65">
        <v>95</v>
      </c>
      <c r="H98" s="65">
        <f t="shared" si="5"/>
        <v>3135</v>
      </c>
      <c r="I98" s="62"/>
      <c r="J98" s="107" t="str">
        <f t="shared" si="3"/>
        <v/>
      </c>
      <c r="K98" s="16"/>
    </row>
    <row r="99" spans="1:11" ht="13.7" customHeight="1">
      <c r="A99" s="63" t="s">
        <v>411</v>
      </c>
      <c r="B99" s="61" t="s">
        <v>412</v>
      </c>
      <c r="C99" s="65">
        <v>293</v>
      </c>
      <c r="D99" s="65">
        <v>0</v>
      </c>
      <c r="E99" s="67">
        <v>0</v>
      </c>
      <c r="F99" s="68">
        <f t="shared" si="4"/>
        <v>293</v>
      </c>
      <c r="G99" s="65">
        <v>144</v>
      </c>
      <c r="H99" s="65">
        <f t="shared" si="5"/>
        <v>42192</v>
      </c>
      <c r="I99" s="119"/>
      <c r="J99" s="107" t="str">
        <f t="shared" si="3"/>
        <v/>
      </c>
      <c r="K99" s="16"/>
    </row>
    <row r="100" spans="1:11" ht="13.7" customHeight="1">
      <c r="A100" s="117" t="s">
        <v>345</v>
      </c>
      <c r="B100" s="64" t="s">
        <v>529</v>
      </c>
      <c r="C100" s="65">
        <v>59</v>
      </c>
      <c r="D100" s="64"/>
      <c r="E100" s="67"/>
      <c r="F100" s="68">
        <f t="shared" si="4"/>
        <v>59</v>
      </c>
      <c r="G100" s="64">
        <v>85</v>
      </c>
      <c r="H100" s="65">
        <f t="shared" si="5"/>
        <v>5015</v>
      </c>
      <c r="I100" s="119"/>
      <c r="J100" s="107" t="str">
        <f t="shared" si="3"/>
        <v/>
      </c>
      <c r="K100" s="16"/>
    </row>
    <row r="101" spans="1:11" ht="13.7" customHeight="1">
      <c r="A101" s="63" t="s">
        <v>345</v>
      </c>
      <c r="B101" s="61" t="s">
        <v>530</v>
      </c>
      <c r="C101" s="65">
        <v>50</v>
      </c>
      <c r="D101" s="65">
        <v>0</v>
      </c>
      <c r="E101" s="67">
        <v>0</v>
      </c>
      <c r="F101" s="68">
        <f t="shared" si="4"/>
        <v>50</v>
      </c>
      <c r="G101" s="65">
        <v>210</v>
      </c>
      <c r="H101" s="65">
        <f t="shared" si="5"/>
        <v>10500</v>
      </c>
      <c r="I101" s="120"/>
      <c r="J101" s="107" t="str">
        <f t="shared" si="3"/>
        <v/>
      </c>
      <c r="K101" s="16"/>
    </row>
    <row r="102" spans="1:11" ht="13.7" customHeight="1">
      <c r="A102" s="63" t="s">
        <v>421</v>
      </c>
      <c r="B102" s="61" t="s">
        <v>462</v>
      </c>
      <c r="C102" s="65">
        <v>348</v>
      </c>
      <c r="D102" s="65">
        <v>0</v>
      </c>
      <c r="E102" s="67">
        <v>0</v>
      </c>
      <c r="F102" s="68">
        <f t="shared" si="4"/>
        <v>348</v>
      </c>
      <c r="G102" s="65">
        <v>63</v>
      </c>
      <c r="H102" s="65">
        <f t="shared" si="5"/>
        <v>21924</v>
      </c>
      <c r="I102" s="119"/>
      <c r="J102" s="107" t="str">
        <f t="shared" si="3"/>
        <v/>
      </c>
      <c r="K102" s="16"/>
    </row>
    <row r="103" spans="1:11" ht="13.7" customHeight="1">
      <c r="A103" s="63" t="s">
        <v>421</v>
      </c>
      <c r="B103" s="61" t="s">
        <v>422</v>
      </c>
      <c r="C103" s="65">
        <v>0</v>
      </c>
      <c r="D103" s="65">
        <v>0</v>
      </c>
      <c r="E103" s="67">
        <v>0</v>
      </c>
      <c r="F103" s="68">
        <f t="shared" si="4"/>
        <v>0</v>
      </c>
      <c r="G103" s="65">
        <v>26.5</v>
      </c>
      <c r="H103" s="65">
        <f t="shared" si="5"/>
        <v>0</v>
      </c>
      <c r="I103" s="119"/>
      <c r="J103" s="107" t="str">
        <f t="shared" si="3"/>
        <v/>
      </c>
      <c r="K103" s="16"/>
    </row>
    <row r="104" spans="1:11" ht="13.7" customHeight="1">
      <c r="A104" s="63" t="s">
        <v>421</v>
      </c>
      <c r="B104" s="61" t="s">
        <v>423</v>
      </c>
      <c r="C104" s="65">
        <v>700</v>
      </c>
      <c r="D104" s="65">
        <v>0</v>
      </c>
      <c r="E104" s="67">
        <v>0</v>
      </c>
      <c r="F104" s="68">
        <f t="shared" si="4"/>
        <v>700</v>
      </c>
      <c r="G104" s="65">
        <v>32</v>
      </c>
      <c r="H104" s="65">
        <f t="shared" si="5"/>
        <v>22400</v>
      </c>
      <c r="I104" s="119"/>
      <c r="J104" s="107" t="str">
        <f t="shared" si="3"/>
        <v/>
      </c>
      <c r="K104" s="16"/>
    </row>
    <row r="105" spans="1:11" ht="13.7" customHeight="1">
      <c r="A105" s="63" t="s">
        <v>421</v>
      </c>
      <c r="B105" s="61" t="s">
        <v>386</v>
      </c>
      <c r="C105" s="65">
        <v>100</v>
      </c>
      <c r="D105" s="65">
        <v>0</v>
      </c>
      <c r="E105" s="67">
        <v>0</v>
      </c>
      <c r="F105" s="68">
        <f t="shared" si="4"/>
        <v>100</v>
      </c>
      <c r="G105" s="65">
        <v>68</v>
      </c>
      <c r="H105" s="65">
        <f t="shared" si="5"/>
        <v>6800</v>
      </c>
      <c r="I105" s="119"/>
      <c r="J105" s="107" t="str">
        <f t="shared" si="3"/>
        <v/>
      </c>
      <c r="K105" s="16"/>
    </row>
    <row r="106" spans="1:11" ht="13.7" customHeight="1">
      <c r="A106" s="63" t="s">
        <v>421</v>
      </c>
      <c r="B106" s="61" t="s">
        <v>424</v>
      </c>
      <c r="C106" s="65">
        <v>0</v>
      </c>
      <c r="D106" s="65">
        <v>0</v>
      </c>
      <c r="E106" s="67">
        <v>0</v>
      </c>
      <c r="F106" s="68">
        <f t="shared" si="4"/>
        <v>0</v>
      </c>
      <c r="G106" s="65">
        <v>55</v>
      </c>
      <c r="H106" s="65">
        <f t="shared" si="5"/>
        <v>0</v>
      </c>
      <c r="I106" s="119"/>
      <c r="J106" s="107" t="str">
        <f t="shared" si="3"/>
        <v/>
      </c>
      <c r="K106" s="16"/>
    </row>
    <row r="107" spans="1:11" ht="13.7" customHeight="1">
      <c r="A107" s="63" t="s">
        <v>421</v>
      </c>
      <c r="B107" s="61" t="s">
        <v>464</v>
      </c>
      <c r="C107" s="65">
        <v>0</v>
      </c>
      <c r="D107" s="65">
        <v>0</v>
      </c>
      <c r="E107" s="67">
        <v>0</v>
      </c>
      <c r="F107" s="68">
        <f t="shared" si="4"/>
        <v>0</v>
      </c>
      <c r="G107" s="65">
        <v>63</v>
      </c>
      <c r="H107" s="65">
        <f t="shared" si="5"/>
        <v>0</v>
      </c>
      <c r="I107" s="119"/>
      <c r="J107" s="107" t="str">
        <f t="shared" si="3"/>
        <v/>
      </c>
      <c r="K107" s="16"/>
    </row>
    <row r="108" spans="1:11" ht="13.7" customHeight="1">
      <c r="A108" s="63" t="s">
        <v>421</v>
      </c>
      <c r="B108" s="61" t="s">
        <v>478</v>
      </c>
      <c r="C108" s="65">
        <v>332</v>
      </c>
      <c r="D108" s="65">
        <v>0</v>
      </c>
      <c r="E108" s="67">
        <v>0</v>
      </c>
      <c r="F108" s="68">
        <f t="shared" si="4"/>
        <v>332</v>
      </c>
      <c r="G108" s="65">
        <v>73</v>
      </c>
      <c r="H108" s="65">
        <f t="shared" si="5"/>
        <v>24236</v>
      </c>
      <c r="I108" s="119"/>
      <c r="J108" s="107" t="str">
        <f t="shared" si="3"/>
        <v/>
      </c>
      <c r="K108" s="16"/>
    </row>
    <row r="109" spans="1:11" ht="13.7" customHeight="1">
      <c r="A109" s="95" t="s">
        <v>455</v>
      </c>
      <c r="B109" s="64" t="s">
        <v>456</v>
      </c>
      <c r="C109" s="65">
        <v>0</v>
      </c>
      <c r="D109" s="65">
        <v>0</v>
      </c>
      <c r="E109" s="67">
        <v>0</v>
      </c>
      <c r="F109" s="68">
        <f t="shared" si="4"/>
        <v>0</v>
      </c>
      <c r="G109" s="64">
        <v>44</v>
      </c>
      <c r="H109" s="65">
        <f t="shared" si="5"/>
        <v>0</v>
      </c>
      <c r="I109" s="119"/>
      <c r="J109" s="107" t="str">
        <f t="shared" si="3"/>
        <v/>
      </c>
      <c r="K109" s="16"/>
    </row>
    <row r="110" spans="1:11" ht="13.7" customHeight="1">
      <c r="A110" s="95" t="s">
        <v>421</v>
      </c>
      <c r="B110" s="64" t="s">
        <v>494</v>
      </c>
      <c r="C110" s="64">
        <v>630</v>
      </c>
      <c r="D110" s="64"/>
      <c r="E110" s="67">
        <v>0</v>
      </c>
      <c r="F110" s="68">
        <f t="shared" si="4"/>
        <v>630</v>
      </c>
      <c r="G110" s="64">
        <v>65</v>
      </c>
      <c r="H110" s="65">
        <f t="shared" si="5"/>
        <v>40950</v>
      </c>
      <c r="I110" s="119"/>
      <c r="J110" s="107" t="str">
        <f t="shared" si="3"/>
        <v/>
      </c>
      <c r="K110" s="16"/>
    </row>
    <row r="111" spans="1:11" ht="13.7" customHeight="1">
      <c r="A111" s="95" t="s">
        <v>421</v>
      </c>
      <c r="B111" s="64" t="s">
        <v>425</v>
      </c>
      <c r="C111" s="65">
        <v>680</v>
      </c>
      <c r="D111" s="64"/>
      <c r="E111" s="67">
        <v>0</v>
      </c>
      <c r="F111" s="68">
        <f t="shared" si="4"/>
        <v>680</v>
      </c>
      <c r="G111" s="64">
        <v>70</v>
      </c>
      <c r="H111" s="65">
        <f t="shared" si="5"/>
        <v>47600</v>
      </c>
      <c r="I111" s="119"/>
      <c r="J111" s="107" t="str">
        <f t="shared" si="3"/>
        <v/>
      </c>
      <c r="K111" s="16"/>
    </row>
    <row r="112" spans="1:11" ht="13.7" customHeight="1">
      <c r="A112" s="95" t="s">
        <v>345</v>
      </c>
      <c r="B112" s="64" t="s">
        <v>495</v>
      </c>
      <c r="C112" s="65">
        <v>51</v>
      </c>
      <c r="D112" s="64"/>
      <c r="E112" s="67">
        <v>0</v>
      </c>
      <c r="F112" s="68">
        <f t="shared" si="4"/>
        <v>51</v>
      </c>
      <c r="G112" s="64">
        <v>210</v>
      </c>
      <c r="H112" s="65">
        <f t="shared" si="5"/>
        <v>10710</v>
      </c>
      <c r="I112" s="119"/>
      <c r="J112" s="107" t="str">
        <f t="shared" si="3"/>
        <v/>
      </c>
      <c r="K112" s="16"/>
    </row>
    <row r="113" spans="1:12" ht="13.7" customHeight="1">
      <c r="A113" s="95" t="s">
        <v>345</v>
      </c>
      <c r="B113" s="64" t="s">
        <v>496</v>
      </c>
      <c r="C113" s="65">
        <v>138</v>
      </c>
      <c r="D113" s="64"/>
      <c r="E113" s="67">
        <v>0</v>
      </c>
      <c r="F113" s="68">
        <f t="shared" si="4"/>
        <v>138</v>
      </c>
      <c r="G113" s="64">
        <v>220</v>
      </c>
      <c r="H113" s="65">
        <f t="shared" si="5"/>
        <v>30360</v>
      </c>
      <c r="I113" s="119"/>
      <c r="J113" s="107" t="str">
        <f t="shared" si="3"/>
        <v/>
      </c>
      <c r="K113" s="16"/>
    </row>
    <row r="114" spans="1:12" ht="13.7" customHeight="1">
      <c r="A114" s="95" t="s">
        <v>345</v>
      </c>
      <c r="B114" s="64" t="s">
        <v>497</v>
      </c>
      <c r="C114" s="65">
        <v>0</v>
      </c>
      <c r="D114" s="64"/>
      <c r="E114" s="67">
        <v>0</v>
      </c>
      <c r="F114" s="68">
        <f t="shared" si="4"/>
        <v>0</v>
      </c>
      <c r="G114" s="64">
        <v>210</v>
      </c>
      <c r="H114" s="65">
        <f t="shared" si="5"/>
        <v>0</v>
      </c>
      <c r="I114" s="119"/>
      <c r="J114" s="107" t="str">
        <f t="shared" si="3"/>
        <v/>
      </c>
      <c r="K114" s="16"/>
    </row>
    <row r="115" spans="1:12" ht="13.7" customHeight="1">
      <c r="A115" s="95" t="s">
        <v>345</v>
      </c>
      <c r="B115" s="64" t="s">
        <v>498</v>
      </c>
      <c r="C115" s="65">
        <v>101</v>
      </c>
      <c r="D115" s="64"/>
      <c r="E115" s="67">
        <v>0</v>
      </c>
      <c r="F115" s="68">
        <f t="shared" si="4"/>
        <v>101</v>
      </c>
      <c r="G115" s="64">
        <v>200</v>
      </c>
      <c r="H115" s="65">
        <f t="shared" si="5"/>
        <v>20200</v>
      </c>
      <c r="I115" s="119"/>
      <c r="J115" s="107" t="str">
        <f t="shared" si="3"/>
        <v/>
      </c>
      <c r="K115" s="50"/>
    </row>
    <row r="116" spans="1:12" ht="13.7" customHeight="1">
      <c r="A116" s="95" t="s">
        <v>345</v>
      </c>
      <c r="B116" s="64" t="s">
        <v>501</v>
      </c>
      <c r="C116" s="65">
        <v>70</v>
      </c>
      <c r="D116" s="64"/>
      <c r="E116" s="67"/>
      <c r="F116" s="68">
        <f t="shared" si="4"/>
        <v>70</v>
      </c>
      <c r="G116" s="64">
        <v>165</v>
      </c>
      <c r="H116" s="65">
        <f t="shared" si="5"/>
        <v>11550</v>
      </c>
      <c r="I116" s="119"/>
      <c r="J116" s="107" t="str">
        <f t="shared" si="3"/>
        <v/>
      </c>
    </row>
    <row r="117" spans="1:12" ht="13.7" customHeight="1">
      <c r="A117" s="95" t="s">
        <v>345</v>
      </c>
      <c r="B117" s="64" t="s">
        <v>502</v>
      </c>
      <c r="C117" s="65">
        <v>20</v>
      </c>
      <c r="D117" s="64"/>
      <c r="E117" s="67"/>
      <c r="F117" s="68">
        <f t="shared" si="4"/>
        <v>20</v>
      </c>
      <c r="G117" s="64">
        <v>160</v>
      </c>
      <c r="H117" s="65">
        <f t="shared" si="5"/>
        <v>3200</v>
      </c>
      <c r="I117" s="119"/>
      <c r="J117" s="107" t="str">
        <f t="shared" si="3"/>
        <v/>
      </c>
    </row>
    <row r="118" spans="1:12" ht="12.75" customHeight="1">
      <c r="A118" s="95" t="s">
        <v>345</v>
      </c>
      <c r="B118" s="64" t="s">
        <v>503</v>
      </c>
      <c r="C118" s="65">
        <v>300</v>
      </c>
      <c r="D118" s="64"/>
      <c r="E118" s="67"/>
      <c r="F118" s="68">
        <f t="shared" si="4"/>
        <v>300</v>
      </c>
      <c r="G118" s="64">
        <v>95</v>
      </c>
      <c r="H118" s="65">
        <f t="shared" si="5"/>
        <v>28500</v>
      </c>
      <c r="I118" s="119"/>
      <c r="J118" s="107" t="str">
        <f t="shared" si="3"/>
        <v/>
      </c>
    </row>
    <row r="119" spans="1:12" ht="12.75" customHeight="1">
      <c r="A119" s="95" t="s">
        <v>345</v>
      </c>
      <c r="B119" s="64" t="s">
        <v>504</v>
      </c>
      <c r="C119" s="65">
        <v>100</v>
      </c>
      <c r="D119" s="64"/>
      <c r="E119" s="67"/>
      <c r="F119" s="68">
        <f t="shared" si="4"/>
        <v>100</v>
      </c>
      <c r="G119" s="64">
        <v>90</v>
      </c>
      <c r="H119" s="65">
        <f t="shared" si="5"/>
        <v>9000</v>
      </c>
      <c r="I119" s="119"/>
      <c r="J119" s="107" t="str">
        <f t="shared" si="3"/>
        <v/>
      </c>
    </row>
    <row r="120" spans="1:12" ht="12.75" customHeight="1">
      <c r="A120" s="95" t="s">
        <v>345</v>
      </c>
      <c r="B120" s="64" t="s">
        <v>505</v>
      </c>
      <c r="C120" s="65">
        <v>120</v>
      </c>
      <c r="D120" s="64"/>
      <c r="E120" s="67"/>
      <c r="F120" s="68">
        <f t="shared" si="4"/>
        <v>120</v>
      </c>
      <c r="G120" s="64">
        <v>165</v>
      </c>
      <c r="H120" s="65">
        <f t="shared" si="5"/>
        <v>19800</v>
      </c>
      <c r="I120" s="119"/>
      <c r="J120" s="107" t="str">
        <f t="shared" si="3"/>
        <v/>
      </c>
      <c r="K120" s="64"/>
      <c r="L120" s="47"/>
    </row>
    <row r="121" spans="1:12" ht="12.75" customHeight="1">
      <c r="A121" s="95" t="s">
        <v>345</v>
      </c>
      <c r="B121" s="64" t="s">
        <v>506</v>
      </c>
      <c r="C121" s="65">
        <v>194</v>
      </c>
      <c r="D121" s="64"/>
      <c r="E121" s="67"/>
      <c r="F121" s="68">
        <f t="shared" si="4"/>
        <v>194</v>
      </c>
      <c r="G121" s="64">
        <v>220</v>
      </c>
      <c r="H121" s="65">
        <f t="shared" si="5"/>
        <v>42680</v>
      </c>
      <c r="I121" s="119"/>
      <c r="J121" s="107" t="str">
        <f t="shared" si="3"/>
        <v/>
      </c>
    </row>
    <row r="122" spans="1:12" ht="12.75" customHeight="1">
      <c r="A122" s="95" t="s">
        <v>345</v>
      </c>
      <c r="B122" s="64" t="s">
        <v>507</v>
      </c>
      <c r="C122" s="65">
        <v>295</v>
      </c>
      <c r="D122" s="64"/>
      <c r="E122" s="67"/>
      <c r="F122" s="68">
        <f t="shared" si="4"/>
        <v>295</v>
      </c>
      <c r="G122" s="64">
        <v>230</v>
      </c>
      <c r="H122" s="65">
        <f t="shared" si="5"/>
        <v>67850</v>
      </c>
      <c r="I122" s="119"/>
      <c r="J122" s="107" t="str">
        <f t="shared" si="3"/>
        <v/>
      </c>
    </row>
    <row r="123" spans="1:12" ht="12.75" customHeight="1">
      <c r="A123" s="95" t="s">
        <v>345</v>
      </c>
      <c r="B123" s="64" t="s">
        <v>499</v>
      </c>
      <c r="C123" s="65">
        <v>0</v>
      </c>
      <c r="D123" s="64"/>
      <c r="E123" s="65">
        <v>0</v>
      </c>
      <c r="F123" s="68">
        <f t="shared" si="4"/>
        <v>0</v>
      </c>
      <c r="G123" s="64">
        <v>245</v>
      </c>
      <c r="H123" s="65">
        <f t="shared" si="5"/>
        <v>0</v>
      </c>
      <c r="I123" s="119"/>
      <c r="J123" s="107" t="str">
        <f t="shared" si="3"/>
        <v/>
      </c>
    </row>
    <row r="124" spans="1:12" ht="12.75" customHeight="1">
      <c r="A124" s="95" t="s">
        <v>345</v>
      </c>
      <c r="B124" s="64" t="s">
        <v>500</v>
      </c>
      <c r="C124" s="65">
        <v>10</v>
      </c>
      <c r="D124" s="64"/>
      <c r="E124" s="65">
        <v>0</v>
      </c>
      <c r="F124" s="68">
        <f t="shared" si="4"/>
        <v>10</v>
      </c>
      <c r="G124" s="64">
        <v>235</v>
      </c>
      <c r="H124" s="65">
        <f t="shared" si="5"/>
        <v>2350</v>
      </c>
      <c r="I124" s="119"/>
      <c r="J124" s="107" t="str">
        <f t="shared" si="3"/>
        <v/>
      </c>
    </row>
    <row r="125" spans="1:12" ht="12.75" customHeight="1">
      <c r="A125" s="98" t="s">
        <v>346</v>
      </c>
      <c r="H125" s="98">
        <f>SUM(H2:H124)</f>
        <v>1694720.9</v>
      </c>
      <c r="J125" s="107"/>
    </row>
    <row r="126" spans="1:12" ht="12.75" customHeight="1">
      <c r="J126" s="107"/>
    </row>
    <row r="127" spans="1:12" ht="12.75" customHeight="1">
      <c r="J127" s="107"/>
    </row>
    <row r="128" spans="1:12" ht="12.75" customHeight="1">
      <c r="J128" s="107"/>
    </row>
    <row r="129" spans="10:10" ht="12.75" customHeight="1">
      <c r="J129" s="107"/>
    </row>
    <row r="130" spans="10:10" ht="12.75" customHeight="1">
      <c r="J130" s="107"/>
    </row>
    <row r="131" spans="10:10" ht="12.75" customHeight="1">
      <c r="J131" s="74"/>
    </row>
  </sheetData>
  <sortState ref="C2:K119">
    <sortCondition ref="C111"/>
  </sortState>
  <conditionalFormatting sqref="J1:J1048576">
    <cfRule type="cellIs" dxfId="55" priority="1" operator="equal">
      <formula>"Y"</formula>
    </cfRule>
  </conditionalFormatting>
  <pageMargins left="0.7" right="0.7" top="0.75" bottom="0.75" header="0.3" footer="0.3"/>
  <pageSetup orientation="portrait" r:id="rId1"/>
  <headerFooter>
    <oddFooter>&amp;C&amp;"Helvetica Neue,Regular"&amp;12&amp;K000000&amp;P</oddFoot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U33"/>
  <sheetViews>
    <sheetView topLeftCell="A4" workbookViewId="0">
      <selection activeCell="N20" sqref="N20"/>
    </sheetView>
  </sheetViews>
  <sheetFormatPr defaultRowHeight="12.75"/>
  <cols>
    <col min="1" max="1" width="12.5703125" bestFit="1" customWidth="1"/>
    <col min="2" max="2" width="33.28515625" bestFit="1" customWidth="1"/>
    <col min="3" max="3" width="13.140625" bestFit="1" customWidth="1"/>
    <col min="4" max="4" width="14.85546875" bestFit="1" customWidth="1"/>
    <col min="5" max="5" width="6" bestFit="1" customWidth="1"/>
    <col min="6" max="6" width="7.28515625" bestFit="1" customWidth="1"/>
    <col min="7" max="7" width="6.5703125" bestFit="1" customWidth="1"/>
    <col min="8" max="8" width="9.7109375" bestFit="1" customWidth="1"/>
    <col min="9" max="9" width="6" bestFit="1" customWidth="1"/>
    <col min="10" max="10" width="7.5703125" bestFit="1" customWidth="1"/>
    <col min="11" max="11" width="7.28515625" bestFit="1" customWidth="1"/>
    <col min="12" max="12" width="6.5703125" bestFit="1" customWidth="1"/>
    <col min="13" max="13" width="8" bestFit="1" customWidth="1"/>
    <col min="14" max="14" width="9.85546875" bestFit="1" customWidth="1"/>
    <col min="15" max="15" width="7.5703125" bestFit="1" customWidth="1"/>
    <col min="16" max="16" width="8.140625" bestFit="1" customWidth="1"/>
    <col min="17" max="17" width="7.5703125" bestFit="1" customWidth="1"/>
    <col min="18" max="18" width="8.140625" bestFit="1" customWidth="1"/>
    <col min="19" max="19" width="10.28515625" bestFit="1" customWidth="1"/>
    <col min="20" max="20" width="5" bestFit="1" customWidth="1"/>
    <col min="21" max="21" width="7.5703125" bestFit="1" customWidth="1"/>
  </cols>
  <sheetData>
    <row r="1" spans="1:21">
      <c r="A1" s="6" t="s">
        <v>6</v>
      </c>
      <c r="B1" s="6" t="s">
        <v>7</v>
      </c>
      <c r="C1" s="6" t="s">
        <v>8</v>
      </c>
      <c r="D1" s="6" t="s">
        <v>9</v>
      </c>
      <c r="E1" s="6" t="s">
        <v>10</v>
      </c>
      <c r="F1" s="6" t="s">
        <v>11</v>
      </c>
      <c r="G1" s="6" t="s">
        <v>12</v>
      </c>
      <c r="H1" s="109" t="s">
        <v>13</v>
      </c>
      <c r="I1" s="6" t="s">
        <v>531</v>
      </c>
      <c r="J1" s="6" t="s">
        <v>532</v>
      </c>
      <c r="K1" s="6" t="s">
        <v>4</v>
      </c>
      <c r="L1" s="6" t="s">
        <v>14</v>
      </c>
      <c r="M1" s="6" t="s">
        <v>15</v>
      </c>
      <c r="N1" s="8" t="s">
        <v>533</v>
      </c>
      <c r="O1" s="6" t="s">
        <v>534</v>
      </c>
      <c r="P1" s="6" t="s">
        <v>535</v>
      </c>
      <c r="Q1" s="6" t="s">
        <v>536</v>
      </c>
      <c r="R1" s="6" t="s">
        <v>537</v>
      </c>
      <c r="S1" s="6" t="s">
        <v>16</v>
      </c>
      <c r="T1" s="9" t="s">
        <v>523</v>
      </c>
      <c r="U1" s="103" t="s">
        <v>524</v>
      </c>
    </row>
    <row r="2" spans="1:21">
      <c r="A2" s="6" t="s">
        <v>29</v>
      </c>
      <c r="B2" s="6" t="s">
        <v>29</v>
      </c>
      <c r="C2" s="6" t="s">
        <v>48</v>
      </c>
      <c r="D2" s="6" t="s">
        <v>49</v>
      </c>
      <c r="E2" s="13">
        <v>12000</v>
      </c>
      <c r="F2" s="13">
        <v>0</v>
      </c>
      <c r="G2" s="13">
        <v>10750</v>
      </c>
      <c r="H2" s="108">
        <f t="shared" ref="H2:H15" si="0">E2+F2-G2</f>
        <v>1250</v>
      </c>
      <c r="I2" s="13">
        <v>25000</v>
      </c>
      <c r="J2" s="13">
        <v>5750</v>
      </c>
      <c r="K2" s="13">
        <f>H2+I2-J2</f>
        <v>20500</v>
      </c>
      <c r="L2" s="13">
        <v>1.2</v>
      </c>
      <c r="M2" s="13">
        <f>K2*L2</f>
        <v>24600</v>
      </c>
      <c r="N2" s="17"/>
      <c r="O2" s="13">
        <v>1.9</v>
      </c>
      <c r="P2" s="13">
        <f>K2*O2</f>
        <v>38950</v>
      </c>
      <c r="Q2" s="13">
        <v>0.77</v>
      </c>
      <c r="R2" s="13">
        <f t="shared" ref="R2:R15" si="1">H2*Q2</f>
        <v>962.5</v>
      </c>
      <c r="S2" s="8"/>
      <c r="T2" s="9">
        <v>5000</v>
      </c>
      <c r="U2" s="15" t="str">
        <f t="shared" ref="U2:U15" si="2">IF(T2&gt;H2,"Y","")</f>
        <v>Y</v>
      </c>
    </row>
    <row r="3" spans="1:21">
      <c r="A3" s="6" t="s">
        <v>56</v>
      </c>
      <c r="B3" s="6" t="s">
        <v>60</v>
      </c>
      <c r="C3" s="12" t="s">
        <v>61</v>
      </c>
      <c r="D3" s="12" t="s">
        <v>59</v>
      </c>
      <c r="E3" s="13">
        <v>200</v>
      </c>
      <c r="F3" s="13">
        <v>0</v>
      </c>
      <c r="G3" s="13">
        <v>0</v>
      </c>
      <c r="H3" s="108">
        <f t="shared" si="0"/>
        <v>200</v>
      </c>
      <c r="I3" s="13">
        <v>1270</v>
      </c>
      <c r="J3" s="13">
        <v>500</v>
      </c>
      <c r="K3" s="13">
        <f>H3+I3-J3</f>
        <v>970</v>
      </c>
      <c r="L3" s="13">
        <v>9</v>
      </c>
      <c r="M3" s="13">
        <f>K3*L3</f>
        <v>8730</v>
      </c>
      <c r="N3" s="8"/>
      <c r="O3" s="13">
        <v>9</v>
      </c>
      <c r="P3" s="13">
        <f>K3*O3</f>
        <v>8730</v>
      </c>
      <c r="Q3" s="13">
        <v>10.119999999999999</v>
      </c>
      <c r="R3" s="13">
        <f t="shared" si="1"/>
        <v>2023.9999999999998</v>
      </c>
      <c r="S3" s="8"/>
      <c r="T3" s="9">
        <v>500</v>
      </c>
      <c r="U3" s="15" t="str">
        <f t="shared" si="2"/>
        <v>Y</v>
      </c>
    </row>
    <row r="4" spans="1:21">
      <c r="A4" s="6" t="s">
        <v>56</v>
      </c>
      <c r="B4" s="12" t="s">
        <v>62</v>
      </c>
      <c r="C4" s="12" t="s">
        <v>63</v>
      </c>
      <c r="D4" s="19" t="s">
        <v>64</v>
      </c>
      <c r="E4" s="13">
        <v>300</v>
      </c>
      <c r="F4" s="13">
        <v>0</v>
      </c>
      <c r="G4" s="13">
        <v>250</v>
      </c>
      <c r="H4" s="108">
        <f t="shared" si="0"/>
        <v>50</v>
      </c>
      <c r="I4" s="8"/>
      <c r="J4" s="8"/>
      <c r="K4" s="8"/>
      <c r="L4" s="8"/>
      <c r="M4" s="8"/>
      <c r="N4" s="8"/>
      <c r="O4" s="8"/>
      <c r="P4" s="8"/>
      <c r="Q4" s="13">
        <v>30</v>
      </c>
      <c r="R4" s="13">
        <f t="shared" si="1"/>
        <v>1500</v>
      </c>
      <c r="S4" s="8"/>
      <c r="T4" s="9">
        <v>200</v>
      </c>
      <c r="U4" s="15" t="str">
        <f t="shared" si="2"/>
        <v>Y</v>
      </c>
    </row>
    <row r="5" spans="1:21">
      <c r="A5" s="6" t="s">
        <v>56</v>
      </c>
      <c r="B5" s="12" t="s">
        <v>62</v>
      </c>
      <c r="C5" s="12" t="s">
        <v>65</v>
      </c>
      <c r="D5" s="19" t="s">
        <v>66</v>
      </c>
      <c r="E5" s="13">
        <v>1000</v>
      </c>
      <c r="F5" s="13"/>
      <c r="G5" s="13">
        <v>900</v>
      </c>
      <c r="H5" s="108">
        <f t="shared" si="0"/>
        <v>100</v>
      </c>
      <c r="I5" s="8"/>
      <c r="J5" s="8"/>
      <c r="K5" s="8"/>
      <c r="L5" s="8"/>
      <c r="M5" s="8"/>
      <c r="N5" s="8"/>
      <c r="O5" s="8"/>
      <c r="P5" s="8"/>
      <c r="Q5" s="13">
        <v>12.95</v>
      </c>
      <c r="R5" s="13">
        <f t="shared" si="1"/>
        <v>1295</v>
      </c>
      <c r="S5" s="8"/>
      <c r="T5" s="9">
        <v>500</v>
      </c>
      <c r="U5" s="15" t="str">
        <f t="shared" si="2"/>
        <v>Y</v>
      </c>
    </row>
    <row r="6" spans="1:21">
      <c r="A6" s="6" t="s">
        <v>75</v>
      </c>
      <c r="B6" s="6" t="s">
        <v>80</v>
      </c>
      <c r="C6" s="6" t="s">
        <v>61</v>
      </c>
      <c r="D6" s="6" t="s">
        <v>80</v>
      </c>
      <c r="E6" s="13">
        <v>40</v>
      </c>
      <c r="F6" s="13">
        <v>0</v>
      </c>
      <c r="G6" s="13">
        <v>0</v>
      </c>
      <c r="H6" s="108">
        <f t="shared" si="0"/>
        <v>40</v>
      </c>
      <c r="I6" s="13">
        <v>0</v>
      </c>
      <c r="J6" s="13">
        <v>0</v>
      </c>
      <c r="K6" s="13">
        <f t="shared" ref="K6:K9" si="3">H6+I6-J6</f>
        <v>40</v>
      </c>
      <c r="L6" s="13">
        <v>2.65</v>
      </c>
      <c r="M6" s="13">
        <f t="shared" ref="M6:M8" si="4">K6*L6</f>
        <v>106</v>
      </c>
      <c r="N6" s="8"/>
      <c r="O6" s="13">
        <v>2.65</v>
      </c>
      <c r="P6" s="13">
        <f t="shared" ref="P6:P9" si="5">K6*O6</f>
        <v>106</v>
      </c>
      <c r="Q6" s="13">
        <v>3.6</v>
      </c>
      <c r="R6" s="13">
        <f t="shared" si="1"/>
        <v>144</v>
      </c>
      <c r="S6" s="8"/>
      <c r="T6" s="9">
        <v>100</v>
      </c>
      <c r="U6" s="15" t="str">
        <f t="shared" si="2"/>
        <v>Y</v>
      </c>
    </row>
    <row r="7" spans="1:21">
      <c r="A7" s="6" t="s">
        <v>118</v>
      </c>
      <c r="B7" s="12" t="s">
        <v>119</v>
      </c>
      <c r="C7" s="12" t="s">
        <v>120</v>
      </c>
      <c r="D7" s="6" t="s">
        <v>121</v>
      </c>
      <c r="E7" s="13">
        <v>4510</v>
      </c>
      <c r="F7" s="13">
        <v>1800</v>
      </c>
      <c r="G7" s="13">
        <v>5074</v>
      </c>
      <c r="H7" s="108">
        <f t="shared" si="0"/>
        <v>1236</v>
      </c>
      <c r="I7" s="13">
        <v>3567</v>
      </c>
      <c r="J7" s="13">
        <v>3000</v>
      </c>
      <c r="K7" s="13">
        <f t="shared" si="3"/>
        <v>1803</v>
      </c>
      <c r="L7" s="13">
        <v>5.6</v>
      </c>
      <c r="M7" s="13">
        <f t="shared" si="4"/>
        <v>10096.799999999999</v>
      </c>
      <c r="N7" s="8"/>
      <c r="O7" s="13">
        <v>5.6</v>
      </c>
      <c r="P7" s="13">
        <f t="shared" si="5"/>
        <v>10096.799999999999</v>
      </c>
      <c r="Q7" s="13">
        <v>8.1</v>
      </c>
      <c r="R7" s="13">
        <f t="shared" si="1"/>
        <v>10011.6</v>
      </c>
      <c r="S7" s="8"/>
      <c r="T7" s="9">
        <v>1500</v>
      </c>
      <c r="U7" s="15" t="str">
        <f t="shared" si="2"/>
        <v>Y</v>
      </c>
    </row>
    <row r="8" spans="1:21">
      <c r="A8" s="12" t="s">
        <v>118</v>
      </c>
      <c r="B8" s="12" t="s">
        <v>122</v>
      </c>
      <c r="C8" s="12" t="s">
        <v>124</v>
      </c>
      <c r="D8" s="12" t="s">
        <v>122</v>
      </c>
      <c r="E8" s="13">
        <v>5800</v>
      </c>
      <c r="F8" s="13">
        <v>0</v>
      </c>
      <c r="G8" s="13">
        <v>2200</v>
      </c>
      <c r="H8" s="108">
        <f t="shared" si="0"/>
        <v>3600</v>
      </c>
      <c r="I8" s="13">
        <v>10000</v>
      </c>
      <c r="J8" s="13">
        <v>9500</v>
      </c>
      <c r="K8" s="13">
        <f t="shared" si="3"/>
        <v>4100</v>
      </c>
      <c r="L8" s="13">
        <v>2.6</v>
      </c>
      <c r="M8" s="13">
        <f t="shared" si="4"/>
        <v>10660</v>
      </c>
      <c r="N8" s="8"/>
      <c r="O8" s="13">
        <v>2.6</v>
      </c>
      <c r="P8" s="13">
        <f t="shared" si="5"/>
        <v>10660</v>
      </c>
      <c r="Q8" s="13">
        <v>2.7</v>
      </c>
      <c r="R8" s="13">
        <f t="shared" si="1"/>
        <v>9720</v>
      </c>
      <c r="S8" s="8"/>
      <c r="T8" s="9">
        <v>5000</v>
      </c>
      <c r="U8" s="15" t="str">
        <f t="shared" si="2"/>
        <v>Y</v>
      </c>
    </row>
    <row r="9" spans="1:21">
      <c r="A9" s="6" t="s">
        <v>145</v>
      </c>
      <c r="B9" s="12" t="s">
        <v>174</v>
      </c>
      <c r="C9" s="25" t="s">
        <v>175</v>
      </c>
      <c r="D9" s="25" t="s">
        <v>176</v>
      </c>
      <c r="E9" s="13">
        <v>3416</v>
      </c>
      <c r="F9" s="13">
        <v>0</v>
      </c>
      <c r="G9" s="13">
        <v>4256</v>
      </c>
      <c r="H9" s="108">
        <f t="shared" si="0"/>
        <v>-840</v>
      </c>
      <c r="I9" s="13">
        <v>0</v>
      </c>
      <c r="J9" s="13">
        <v>11741</v>
      </c>
      <c r="K9" s="13">
        <f t="shared" si="3"/>
        <v>-12581</v>
      </c>
      <c r="L9" s="13">
        <v>20</v>
      </c>
      <c r="M9" s="13">
        <f>K9*L9</f>
        <v>-251620</v>
      </c>
      <c r="N9" s="6" t="s">
        <v>177</v>
      </c>
      <c r="O9" s="13">
        <v>20</v>
      </c>
      <c r="P9" s="13">
        <f t="shared" si="5"/>
        <v>-251620</v>
      </c>
      <c r="Q9" s="26">
        <v>16</v>
      </c>
      <c r="R9" s="13">
        <f t="shared" si="1"/>
        <v>-13440</v>
      </c>
      <c r="S9" s="8"/>
      <c r="T9" s="9">
        <v>5000</v>
      </c>
      <c r="U9" s="15" t="str">
        <f t="shared" si="2"/>
        <v>Y</v>
      </c>
    </row>
    <row r="10" spans="1:21">
      <c r="A10" s="6" t="s">
        <v>207</v>
      </c>
      <c r="B10" s="12" t="s">
        <v>214</v>
      </c>
      <c r="C10" s="12" t="s">
        <v>215</v>
      </c>
      <c r="D10" s="12" t="s">
        <v>42</v>
      </c>
      <c r="E10" s="13">
        <v>20000</v>
      </c>
      <c r="F10" s="13">
        <v>0</v>
      </c>
      <c r="G10" s="13">
        <v>18200</v>
      </c>
      <c r="H10" s="108">
        <f t="shared" si="0"/>
        <v>1800</v>
      </c>
      <c r="I10" s="13"/>
      <c r="J10" s="13"/>
      <c r="K10" s="13"/>
      <c r="L10" s="8"/>
      <c r="M10" s="8"/>
      <c r="N10" s="31"/>
      <c r="O10" s="13"/>
      <c r="P10" s="13"/>
      <c r="Q10" s="13">
        <v>0.8</v>
      </c>
      <c r="R10" s="13">
        <f t="shared" si="1"/>
        <v>1440</v>
      </c>
      <c r="S10" s="105" t="s">
        <v>525</v>
      </c>
      <c r="T10" s="9">
        <v>5000</v>
      </c>
      <c r="U10" s="15" t="str">
        <f t="shared" si="2"/>
        <v>Y</v>
      </c>
    </row>
    <row r="11" spans="1:21">
      <c r="A11" s="6" t="s">
        <v>207</v>
      </c>
      <c r="B11" s="6" t="s">
        <v>471</v>
      </c>
      <c r="C11" s="6" t="s">
        <v>482</v>
      </c>
      <c r="D11" s="12" t="s">
        <v>485</v>
      </c>
      <c r="E11" s="13">
        <v>500</v>
      </c>
      <c r="F11" s="13">
        <v>0</v>
      </c>
      <c r="G11" s="13">
        <v>500</v>
      </c>
      <c r="H11" s="108">
        <f t="shared" si="0"/>
        <v>0</v>
      </c>
      <c r="I11" s="13"/>
      <c r="J11" s="13"/>
      <c r="K11" s="13"/>
      <c r="L11" s="13"/>
      <c r="M11" s="13"/>
      <c r="N11" s="8"/>
      <c r="O11" s="13"/>
      <c r="P11" s="13"/>
      <c r="Q11" s="13">
        <v>0.16</v>
      </c>
      <c r="R11" s="13">
        <f t="shared" si="1"/>
        <v>0</v>
      </c>
      <c r="S11" s="8"/>
      <c r="T11" s="9">
        <v>1000</v>
      </c>
      <c r="U11" s="15" t="str">
        <f t="shared" si="2"/>
        <v>Y</v>
      </c>
    </row>
    <row r="12" spans="1:21">
      <c r="A12" s="6" t="s">
        <v>231</v>
      </c>
      <c r="B12" s="6" t="s">
        <v>233</v>
      </c>
      <c r="C12" s="6" t="s">
        <v>234</v>
      </c>
      <c r="D12" s="6" t="s">
        <v>235</v>
      </c>
      <c r="E12" s="13">
        <v>1000</v>
      </c>
      <c r="F12" s="13">
        <v>0</v>
      </c>
      <c r="G12" s="13">
        <v>0</v>
      </c>
      <c r="H12" s="108">
        <f t="shared" si="0"/>
        <v>1000</v>
      </c>
      <c r="I12" s="8"/>
      <c r="J12" s="8"/>
      <c r="K12" s="8"/>
      <c r="L12" s="8"/>
      <c r="M12" s="8"/>
      <c r="N12" s="8"/>
      <c r="O12" s="8"/>
      <c r="P12" s="8"/>
      <c r="Q12" s="13">
        <v>0.3</v>
      </c>
      <c r="R12" s="13">
        <f t="shared" si="1"/>
        <v>300</v>
      </c>
      <c r="S12" s="8"/>
      <c r="T12" s="9">
        <v>5000</v>
      </c>
      <c r="U12" s="15" t="str">
        <f t="shared" si="2"/>
        <v>Y</v>
      </c>
    </row>
    <row r="13" spans="1:21">
      <c r="A13" s="6" t="s">
        <v>237</v>
      </c>
      <c r="B13" s="6" t="s">
        <v>241</v>
      </c>
      <c r="C13" s="12" t="s">
        <v>242</v>
      </c>
      <c r="D13" s="6" t="s">
        <v>241</v>
      </c>
      <c r="E13" s="13">
        <v>500</v>
      </c>
      <c r="F13" s="13">
        <v>0</v>
      </c>
      <c r="G13" s="13">
        <v>450</v>
      </c>
      <c r="H13" s="108">
        <f t="shared" si="0"/>
        <v>50</v>
      </c>
      <c r="I13" s="13">
        <v>1100</v>
      </c>
      <c r="J13" s="13">
        <v>1485</v>
      </c>
      <c r="K13" s="13">
        <f t="shared" ref="K13:K15" si="6">H13+I13-J13</f>
        <v>-335</v>
      </c>
      <c r="L13" s="13">
        <v>2.8</v>
      </c>
      <c r="M13" s="13">
        <f t="shared" ref="M13:M15" si="7">K13*L13</f>
        <v>-937.99999999999989</v>
      </c>
      <c r="N13" s="17"/>
      <c r="O13" s="13">
        <v>2.8</v>
      </c>
      <c r="P13" s="13">
        <f t="shared" ref="P13:P15" si="8">K13*O13</f>
        <v>-937.99999999999989</v>
      </c>
      <c r="Q13" s="13">
        <v>2.8</v>
      </c>
      <c r="R13" s="13">
        <f t="shared" si="1"/>
        <v>140</v>
      </c>
      <c r="S13" s="8" t="s">
        <v>518</v>
      </c>
      <c r="T13" s="9">
        <v>200</v>
      </c>
      <c r="U13" s="15" t="str">
        <f t="shared" si="2"/>
        <v>Y</v>
      </c>
    </row>
    <row r="14" spans="1:21">
      <c r="A14" s="6" t="s">
        <v>237</v>
      </c>
      <c r="B14" s="6" t="s">
        <v>244</v>
      </c>
      <c r="C14" s="12" t="s">
        <v>245</v>
      </c>
      <c r="D14" s="8"/>
      <c r="E14" s="13">
        <v>500</v>
      </c>
      <c r="F14" s="13">
        <v>0</v>
      </c>
      <c r="G14" s="13">
        <v>500</v>
      </c>
      <c r="H14" s="108">
        <f t="shared" si="0"/>
        <v>0</v>
      </c>
      <c r="I14" s="13">
        <v>500</v>
      </c>
      <c r="J14" s="13">
        <v>1500</v>
      </c>
      <c r="K14" s="13">
        <f t="shared" si="6"/>
        <v>-1000</v>
      </c>
      <c r="L14" s="13">
        <v>0.64</v>
      </c>
      <c r="M14" s="13">
        <f t="shared" si="7"/>
        <v>-640</v>
      </c>
      <c r="N14" s="6"/>
      <c r="O14" s="13">
        <v>0.64</v>
      </c>
      <c r="P14" s="13">
        <f t="shared" si="8"/>
        <v>-640</v>
      </c>
      <c r="Q14" s="13">
        <v>0.72</v>
      </c>
      <c r="R14" s="13">
        <f t="shared" si="1"/>
        <v>0</v>
      </c>
      <c r="S14" s="8"/>
      <c r="T14" s="9">
        <v>200</v>
      </c>
      <c r="U14" s="15" t="str">
        <f t="shared" si="2"/>
        <v>Y</v>
      </c>
    </row>
    <row r="15" spans="1:21">
      <c r="A15" s="6" t="s">
        <v>251</v>
      </c>
      <c r="B15" s="12" t="s">
        <v>258</v>
      </c>
      <c r="C15" s="12" t="s">
        <v>258</v>
      </c>
      <c r="D15" s="12" t="s">
        <v>259</v>
      </c>
      <c r="E15" s="13">
        <v>0</v>
      </c>
      <c r="F15" s="13">
        <v>3000</v>
      </c>
      <c r="G15" s="13">
        <v>2000</v>
      </c>
      <c r="H15" s="108">
        <f t="shared" si="0"/>
        <v>1000</v>
      </c>
      <c r="I15" s="13">
        <v>26000</v>
      </c>
      <c r="J15" s="13">
        <v>4500</v>
      </c>
      <c r="K15" s="13">
        <f t="shared" si="6"/>
        <v>22500</v>
      </c>
      <c r="L15" s="13">
        <v>25</v>
      </c>
      <c r="M15" s="13">
        <f t="shared" si="7"/>
        <v>562500</v>
      </c>
      <c r="N15" s="33"/>
      <c r="O15" s="13">
        <v>25</v>
      </c>
      <c r="P15" s="13">
        <f t="shared" si="8"/>
        <v>562500</v>
      </c>
      <c r="Q15" s="13">
        <v>4.5</v>
      </c>
      <c r="R15" s="13">
        <f t="shared" si="1"/>
        <v>4500</v>
      </c>
      <c r="S15" s="8"/>
      <c r="T15" s="9">
        <v>2000</v>
      </c>
      <c r="U15" s="15" t="str">
        <f t="shared" si="2"/>
        <v>Y</v>
      </c>
    </row>
    <row r="18" spans="1:10">
      <c r="A18" s="61" t="s">
        <v>348</v>
      </c>
      <c r="B18" s="61" t="s">
        <v>349</v>
      </c>
      <c r="C18" s="61" t="s">
        <v>350</v>
      </c>
      <c r="D18" s="61" t="s">
        <v>11</v>
      </c>
      <c r="E18" s="62" t="s">
        <v>12</v>
      </c>
      <c r="F18" s="135" t="s">
        <v>4</v>
      </c>
      <c r="G18" s="63" t="s">
        <v>14</v>
      </c>
      <c r="H18" s="61" t="s">
        <v>15</v>
      </c>
      <c r="I18" s="119" t="s">
        <v>523</v>
      </c>
      <c r="J18" s="125" t="s">
        <v>524</v>
      </c>
    </row>
    <row r="19" spans="1:10">
      <c r="A19" s="65">
        <v>6450</v>
      </c>
      <c r="B19" s="70" t="s">
        <v>352</v>
      </c>
      <c r="C19" s="65">
        <v>250</v>
      </c>
      <c r="D19" s="65">
        <v>0</v>
      </c>
      <c r="E19" s="67">
        <v>210</v>
      </c>
      <c r="F19" s="68">
        <f>C19+D19-E19</f>
        <v>40</v>
      </c>
      <c r="G19" s="69">
        <v>5</v>
      </c>
      <c r="H19" s="65">
        <f t="shared" ref="H19:H22" si="9">F19*G19</f>
        <v>200</v>
      </c>
      <c r="I19" s="119">
        <v>50</v>
      </c>
      <c r="J19" s="136" t="str">
        <f t="shared" ref="J19:J33" si="10">IF(I19&gt;F19,"Y","")</f>
        <v>Y</v>
      </c>
    </row>
    <row r="20" spans="1:10">
      <c r="A20" s="65">
        <v>7236</v>
      </c>
      <c r="B20" s="61" t="s">
        <v>353</v>
      </c>
      <c r="C20" s="65">
        <v>500</v>
      </c>
      <c r="D20" s="65">
        <v>0</v>
      </c>
      <c r="E20" s="67">
        <v>500</v>
      </c>
      <c r="F20" s="68">
        <f t="shared" ref="F20:F22" si="11">C20+D20-E20</f>
        <v>0</v>
      </c>
      <c r="G20" s="69">
        <v>12.5</v>
      </c>
      <c r="H20" s="65">
        <f t="shared" si="9"/>
        <v>0</v>
      </c>
      <c r="I20" s="119">
        <v>100</v>
      </c>
      <c r="J20" s="136" t="str">
        <f t="shared" si="10"/>
        <v>Y</v>
      </c>
    </row>
    <row r="21" spans="1:10">
      <c r="A21" s="65">
        <v>14151</v>
      </c>
      <c r="B21" s="61" t="s">
        <v>510</v>
      </c>
      <c r="C21" s="65">
        <v>0</v>
      </c>
      <c r="D21" s="65">
        <v>0</v>
      </c>
      <c r="E21" s="67">
        <v>0</v>
      </c>
      <c r="F21" s="68">
        <f t="shared" si="11"/>
        <v>0</v>
      </c>
      <c r="G21" s="69">
        <v>27.7</v>
      </c>
      <c r="H21" s="65">
        <f t="shared" si="9"/>
        <v>0</v>
      </c>
      <c r="I21" s="119">
        <v>50</v>
      </c>
      <c r="J21" s="136" t="str">
        <f t="shared" si="10"/>
        <v>Y</v>
      </c>
    </row>
    <row r="22" spans="1:10">
      <c r="A22" s="65">
        <v>14152</v>
      </c>
      <c r="B22" s="61" t="s">
        <v>360</v>
      </c>
      <c r="C22" s="65">
        <v>89</v>
      </c>
      <c r="D22" s="65">
        <v>0</v>
      </c>
      <c r="E22" s="67">
        <v>0</v>
      </c>
      <c r="F22" s="68">
        <f t="shared" si="11"/>
        <v>89</v>
      </c>
      <c r="G22" s="69">
        <v>47</v>
      </c>
      <c r="H22" s="65">
        <f t="shared" si="9"/>
        <v>4183</v>
      </c>
      <c r="I22" s="119">
        <v>100</v>
      </c>
      <c r="J22" s="136" t="str">
        <f t="shared" si="10"/>
        <v>Y</v>
      </c>
    </row>
    <row r="23" spans="1:10" ht="15">
      <c r="A23" s="65">
        <v>14241</v>
      </c>
      <c r="B23" s="71" t="s">
        <v>361</v>
      </c>
      <c r="C23" s="65">
        <v>0</v>
      </c>
      <c r="D23" s="65">
        <v>0</v>
      </c>
      <c r="E23" s="67">
        <v>0</v>
      </c>
      <c r="F23" s="68">
        <v>0</v>
      </c>
      <c r="G23" s="69">
        <v>42.17</v>
      </c>
      <c r="H23" s="65">
        <v>0</v>
      </c>
      <c r="I23" s="67">
        <v>100</v>
      </c>
      <c r="J23" s="136" t="str">
        <f t="shared" si="10"/>
        <v>Y</v>
      </c>
    </row>
    <row r="24" spans="1:10">
      <c r="A24" s="65">
        <v>14372</v>
      </c>
      <c r="B24" s="61" t="s">
        <v>363</v>
      </c>
      <c r="C24" s="65">
        <v>328</v>
      </c>
      <c r="D24" s="65"/>
      <c r="E24" s="67">
        <v>300</v>
      </c>
      <c r="F24" s="68">
        <f t="shared" ref="F24:F33" si="12">C24+D24-E24</f>
        <v>28</v>
      </c>
      <c r="G24" s="69">
        <v>42.16</v>
      </c>
      <c r="H24" s="65">
        <f t="shared" ref="H24:H33" si="13">F24*G24</f>
        <v>1180.48</v>
      </c>
      <c r="I24" s="119">
        <v>100</v>
      </c>
      <c r="J24" s="136" t="str">
        <f t="shared" si="10"/>
        <v>Y</v>
      </c>
    </row>
    <row r="25" spans="1:10">
      <c r="A25" s="65">
        <v>29062</v>
      </c>
      <c r="B25" s="61" t="s">
        <v>373</v>
      </c>
      <c r="C25" s="65">
        <v>25</v>
      </c>
      <c r="D25" s="65">
        <v>0</v>
      </c>
      <c r="E25" s="67">
        <v>0</v>
      </c>
      <c r="F25" s="68">
        <f t="shared" si="12"/>
        <v>25</v>
      </c>
      <c r="G25" s="69">
        <v>37.520000000000003</v>
      </c>
      <c r="H25" s="65">
        <f t="shared" si="13"/>
        <v>938.00000000000011</v>
      </c>
      <c r="I25" s="119">
        <v>50</v>
      </c>
      <c r="J25" s="136" t="str">
        <f t="shared" si="10"/>
        <v>Y</v>
      </c>
    </row>
    <row r="26" spans="1:10">
      <c r="A26" s="65">
        <v>29076</v>
      </c>
      <c r="B26" s="61" t="s">
        <v>374</v>
      </c>
      <c r="C26" s="65"/>
      <c r="D26" s="65">
        <v>0</v>
      </c>
      <c r="E26" s="67">
        <v>0</v>
      </c>
      <c r="F26" s="68">
        <f t="shared" si="12"/>
        <v>0</v>
      </c>
      <c r="G26" s="69">
        <v>58</v>
      </c>
      <c r="H26" s="65">
        <f t="shared" si="13"/>
        <v>0</v>
      </c>
      <c r="I26" s="119">
        <v>50</v>
      </c>
      <c r="J26" s="136" t="str">
        <f t="shared" si="10"/>
        <v>Y</v>
      </c>
    </row>
    <row r="27" spans="1:10">
      <c r="A27" s="65">
        <v>30056</v>
      </c>
      <c r="B27" s="61" t="s">
        <v>376</v>
      </c>
      <c r="C27" s="65">
        <v>25</v>
      </c>
      <c r="D27" s="65">
        <v>0</v>
      </c>
      <c r="E27" s="67">
        <v>0</v>
      </c>
      <c r="F27" s="68">
        <f t="shared" si="12"/>
        <v>25</v>
      </c>
      <c r="G27" s="69">
        <v>14.5</v>
      </c>
      <c r="H27" s="65">
        <f t="shared" si="13"/>
        <v>362.5</v>
      </c>
      <c r="I27" s="119">
        <v>50</v>
      </c>
      <c r="J27" s="136" t="str">
        <f t="shared" si="10"/>
        <v>Y</v>
      </c>
    </row>
    <row r="28" spans="1:10">
      <c r="A28" s="72" t="s">
        <v>381</v>
      </c>
      <c r="B28" s="72" t="s">
        <v>386</v>
      </c>
      <c r="C28" s="65">
        <v>300</v>
      </c>
      <c r="D28" s="65">
        <v>0</v>
      </c>
      <c r="E28" s="67">
        <v>300</v>
      </c>
      <c r="F28" s="68">
        <f t="shared" si="12"/>
        <v>0</v>
      </c>
      <c r="G28" s="69">
        <v>23</v>
      </c>
      <c r="H28" s="65">
        <f t="shared" si="13"/>
        <v>0</v>
      </c>
      <c r="I28" s="120">
        <v>100</v>
      </c>
      <c r="J28" s="136" t="str">
        <f t="shared" si="10"/>
        <v>Y</v>
      </c>
    </row>
    <row r="29" spans="1:10">
      <c r="A29" s="72" t="s">
        <v>381</v>
      </c>
      <c r="B29" s="72" t="s">
        <v>466</v>
      </c>
      <c r="C29" s="65">
        <v>0</v>
      </c>
      <c r="D29" s="65"/>
      <c r="E29" s="67">
        <v>0</v>
      </c>
      <c r="F29" s="68">
        <f t="shared" si="12"/>
        <v>0</v>
      </c>
      <c r="G29" s="69">
        <v>18</v>
      </c>
      <c r="H29" s="65">
        <f t="shared" si="13"/>
        <v>0</v>
      </c>
      <c r="I29" s="120">
        <v>100</v>
      </c>
      <c r="J29" s="136" t="str">
        <f t="shared" si="10"/>
        <v>Y</v>
      </c>
    </row>
    <row r="30" spans="1:10">
      <c r="A30" s="72" t="s">
        <v>381</v>
      </c>
      <c r="B30" s="72" t="s">
        <v>385</v>
      </c>
      <c r="C30" s="65">
        <v>0</v>
      </c>
      <c r="D30" s="65">
        <v>0</v>
      </c>
      <c r="E30" s="67">
        <v>0</v>
      </c>
      <c r="F30" s="68">
        <f t="shared" si="12"/>
        <v>0</v>
      </c>
      <c r="G30" s="69">
        <v>12</v>
      </c>
      <c r="H30" s="65">
        <f t="shared" si="13"/>
        <v>0</v>
      </c>
      <c r="I30" s="120">
        <v>100</v>
      </c>
      <c r="J30" s="136" t="str">
        <f t="shared" si="10"/>
        <v>Y</v>
      </c>
    </row>
    <row r="31" spans="1:10">
      <c r="A31" s="72" t="s">
        <v>133</v>
      </c>
      <c r="B31" s="72" t="s">
        <v>416</v>
      </c>
      <c r="C31" s="65">
        <v>65</v>
      </c>
      <c r="D31" s="65">
        <v>0</v>
      </c>
      <c r="E31" s="67">
        <v>0</v>
      </c>
      <c r="F31" s="68">
        <f t="shared" si="12"/>
        <v>65</v>
      </c>
      <c r="G31" s="69">
        <v>42</v>
      </c>
      <c r="H31" s="65">
        <f t="shared" si="13"/>
        <v>2730</v>
      </c>
      <c r="I31" s="67">
        <v>100</v>
      </c>
      <c r="J31" s="136" t="str">
        <f t="shared" si="10"/>
        <v>Y</v>
      </c>
    </row>
    <row r="32" spans="1:10">
      <c r="A32" s="72" t="s">
        <v>133</v>
      </c>
      <c r="B32" s="72" t="s">
        <v>380</v>
      </c>
      <c r="C32" s="65">
        <v>1000</v>
      </c>
      <c r="D32" s="65">
        <v>0</v>
      </c>
      <c r="E32" s="67">
        <v>1000</v>
      </c>
      <c r="F32" s="68">
        <f t="shared" si="12"/>
        <v>0</v>
      </c>
      <c r="G32" s="69">
        <v>29.4</v>
      </c>
      <c r="H32" s="65">
        <f t="shared" si="13"/>
        <v>0</v>
      </c>
      <c r="I32" s="67">
        <v>500</v>
      </c>
      <c r="J32" s="136" t="str">
        <f t="shared" si="10"/>
        <v>Y</v>
      </c>
    </row>
    <row r="33" spans="1:10">
      <c r="A33" s="72" t="s">
        <v>62</v>
      </c>
      <c r="B33" s="72" t="s">
        <v>477</v>
      </c>
      <c r="C33" s="65">
        <v>64</v>
      </c>
      <c r="D33" s="65">
        <v>0</v>
      </c>
      <c r="E33" s="67">
        <v>0</v>
      </c>
      <c r="F33" s="68">
        <f t="shared" si="12"/>
        <v>64</v>
      </c>
      <c r="G33" s="69">
        <v>55.8</v>
      </c>
      <c r="H33" s="65">
        <f t="shared" si="13"/>
        <v>3571.2</v>
      </c>
      <c r="I33" s="119">
        <v>100</v>
      </c>
      <c r="J33" s="136" t="str">
        <f t="shared" si="10"/>
        <v>Y</v>
      </c>
    </row>
  </sheetData>
  <conditionalFormatting sqref="U2">
    <cfRule type="cellIs" dxfId="43" priority="44" operator="equal">
      <formula>"""Y"""</formula>
    </cfRule>
  </conditionalFormatting>
  <conditionalFormatting sqref="U2">
    <cfRule type="cellIs" dxfId="42" priority="43" operator="equal">
      <formula>"Y"</formula>
    </cfRule>
  </conditionalFormatting>
  <conditionalFormatting sqref="U3">
    <cfRule type="cellIs" dxfId="41" priority="42" operator="equal">
      <formula>"""Y"""</formula>
    </cfRule>
  </conditionalFormatting>
  <conditionalFormatting sqref="U3">
    <cfRule type="cellIs" dxfId="40" priority="41" operator="equal">
      <formula>"Y"</formula>
    </cfRule>
  </conditionalFormatting>
  <conditionalFormatting sqref="U4">
    <cfRule type="cellIs" dxfId="39" priority="40" operator="equal">
      <formula>"""Y"""</formula>
    </cfRule>
  </conditionalFormatting>
  <conditionalFormatting sqref="U4">
    <cfRule type="cellIs" dxfId="38" priority="39" operator="equal">
      <formula>"Y"</formula>
    </cfRule>
  </conditionalFormatting>
  <conditionalFormatting sqref="U5">
    <cfRule type="cellIs" dxfId="37" priority="38" operator="equal">
      <formula>"""Y"""</formula>
    </cfRule>
  </conditionalFormatting>
  <conditionalFormatting sqref="U5">
    <cfRule type="cellIs" dxfId="36" priority="37" operator="equal">
      <formula>"Y"</formula>
    </cfRule>
  </conditionalFormatting>
  <conditionalFormatting sqref="U6">
    <cfRule type="cellIs" dxfId="35" priority="36" operator="equal">
      <formula>"""Y"""</formula>
    </cfRule>
  </conditionalFormatting>
  <conditionalFormatting sqref="U6">
    <cfRule type="cellIs" dxfId="34" priority="35" operator="equal">
      <formula>"Y"</formula>
    </cfRule>
  </conditionalFormatting>
  <conditionalFormatting sqref="U7">
    <cfRule type="cellIs" dxfId="33" priority="34" operator="equal">
      <formula>"""Y"""</formula>
    </cfRule>
  </conditionalFormatting>
  <conditionalFormatting sqref="U7">
    <cfRule type="cellIs" dxfId="32" priority="33" operator="equal">
      <formula>"Y"</formula>
    </cfRule>
  </conditionalFormatting>
  <conditionalFormatting sqref="U8">
    <cfRule type="cellIs" dxfId="31" priority="32" operator="equal">
      <formula>"""Y"""</formula>
    </cfRule>
  </conditionalFormatting>
  <conditionalFormatting sqref="U8">
    <cfRule type="cellIs" dxfId="30" priority="31" operator="equal">
      <formula>"Y"</formula>
    </cfRule>
  </conditionalFormatting>
  <conditionalFormatting sqref="U9">
    <cfRule type="cellIs" dxfId="29" priority="30" operator="equal">
      <formula>"""Y"""</formula>
    </cfRule>
  </conditionalFormatting>
  <conditionalFormatting sqref="U9">
    <cfRule type="cellIs" dxfId="28" priority="29" operator="equal">
      <formula>"Y"</formula>
    </cfRule>
  </conditionalFormatting>
  <conditionalFormatting sqref="U10">
    <cfRule type="cellIs" dxfId="27" priority="28" operator="equal">
      <formula>"""Y"""</formula>
    </cfRule>
  </conditionalFormatting>
  <conditionalFormatting sqref="U10">
    <cfRule type="cellIs" dxfId="26" priority="27" operator="equal">
      <formula>"Y"</formula>
    </cfRule>
  </conditionalFormatting>
  <conditionalFormatting sqref="U11">
    <cfRule type="cellIs" dxfId="25" priority="26" operator="equal">
      <formula>"""Y"""</formula>
    </cfRule>
  </conditionalFormatting>
  <conditionalFormatting sqref="U11">
    <cfRule type="cellIs" dxfId="24" priority="25" operator="equal">
      <formula>"Y"</formula>
    </cfRule>
  </conditionalFormatting>
  <conditionalFormatting sqref="U12">
    <cfRule type="cellIs" dxfId="23" priority="24" operator="equal">
      <formula>"""Y"""</formula>
    </cfRule>
  </conditionalFormatting>
  <conditionalFormatting sqref="U12">
    <cfRule type="cellIs" dxfId="22" priority="23" operator="equal">
      <formula>"Y"</formula>
    </cfRule>
  </conditionalFormatting>
  <conditionalFormatting sqref="U13">
    <cfRule type="cellIs" dxfId="21" priority="22" operator="equal">
      <formula>"""Y"""</formula>
    </cfRule>
  </conditionalFormatting>
  <conditionalFormatting sqref="U13">
    <cfRule type="cellIs" dxfId="20" priority="21" operator="equal">
      <formula>"Y"</formula>
    </cfRule>
  </conditionalFormatting>
  <conditionalFormatting sqref="U14">
    <cfRule type="cellIs" dxfId="19" priority="20" operator="equal">
      <formula>"""Y"""</formula>
    </cfRule>
  </conditionalFormatting>
  <conditionalFormatting sqref="U14">
    <cfRule type="cellIs" dxfId="18" priority="19" operator="equal">
      <formula>"Y"</formula>
    </cfRule>
  </conditionalFormatting>
  <conditionalFormatting sqref="U15">
    <cfRule type="cellIs" dxfId="17" priority="18" operator="equal">
      <formula>"""Y"""</formula>
    </cfRule>
  </conditionalFormatting>
  <conditionalFormatting sqref="U15">
    <cfRule type="cellIs" dxfId="16" priority="17" operator="equal">
      <formula>"Y"</formula>
    </cfRule>
  </conditionalFormatting>
  <conditionalFormatting sqref="J18">
    <cfRule type="cellIs" dxfId="15" priority="16" operator="equal">
      <formula>"Y"</formula>
    </cfRule>
  </conditionalFormatting>
  <conditionalFormatting sqref="J19">
    <cfRule type="cellIs" dxfId="14" priority="15" operator="equal">
      <formula>"Y"</formula>
    </cfRule>
  </conditionalFormatting>
  <conditionalFormatting sqref="J20">
    <cfRule type="cellIs" dxfId="13" priority="14" operator="equal">
      <formula>"Y"</formula>
    </cfRule>
  </conditionalFormatting>
  <conditionalFormatting sqref="J21">
    <cfRule type="cellIs" dxfId="12" priority="13" operator="equal">
      <formula>"Y"</formula>
    </cfRule>
  </conditionalFormatting>
  <conditionalFormatting sqref="J22">
    <cfRule type="cellIs" dxfId="11" priority="12" operator="equal">
      <formula>"Y"</formula>
    </cfRule>
  </conditionalFormatting>
  <conditionalFormatting sqref="J23">
    <cfRule type="cellIs" dxfId="10" priority="11" operator="equal">
      <formula>"Y"</formula>
    </cfRule>
  </conditionalFormatting>
  <conditionalFormatting sqref="J24">
    <cfRule type="cellIs" dxfId="9" priority="10" operator="equal">
      <formula>"Y"</formula>
    </cfRule>
  </conditionalFormatting>
  <conditionalFormatting sqref="J25">
    <cfRule type="cellIs" dxfId="8" priority="9" operator="equal">
      <formula>"Y"</formula>
    </cfRule>
  </conditionalFormatting>
  <conditionalFormatting sqref="J26">
    <cfRule type="cellIs" dxfId="7" priority="8" operator="equal">
      <formula>"Y"</formula>
    </cfRule>
  </conditionalFormatting>
  <conditionalFormatting sqref="J27">
    <cfRule type="cellIs" dxfId="6" priority="7" operator="equal">
      <formula>"Y"</formula>
    </cfRule>
  </conditionalFormatting>
  <conditionalFormatting sqref="J28">
    <cfRule type="cellIs" dxfId="5" priority="6" operator="equal">
      <formula>"Y"</formula>
    </cfRule>
  </conditionalFormatting>
  <conditionalFormatting sqref="J29">
    <cfRule type="cellIs" dxfId="4" priority="5" operator="equal">
      <formula>"Y"</formula>
    </cfRule>
  </conditionalFormatting>
  <conditionalFormatting sqref="J30">
    <cfRule type="cellIs" dxfId="3" priority="4" operator="equal">
      <formula>"Y"</formula>
    </cfRule>
  </conditionalFormatting>
  <conditionalFormatting sqref="J31">
    <cfRule type="cellIs" dxfId="2" priority="3" operator="equal">
      <formula>"Y"</formula>
    </cfRule>
  </conditionalFormatting>
  <conditionalFormatting sqref="J32">
    <cfRule type="cellIs" dxfId="1" priority="2" operator="equal">
      <formula>"Y"</formula>
    </cfRule>
  </conditionalFormatting>
  <conditionalFormatting sqref="J33">
    <cfRule type="cellIs" dxfId="0" priority="1" operator="equal">
      <formula>"Y"</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Export Summary</vt:lpstr>
      <vt:lpstr>STOCK</vt:lpstr>
      <vt:lpstr>DESI.S99</vt:lpstr>
      <vt:lpstr>JWEL</vt:lpstr>
      <vt:lpstr>BLANK PCB</vt:lpstr>
      <vt:lpstr>ORDER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Pranav Shukla</dc:creator>
  <cp:lastModifiedBy>impax</cp:lastModifiedBy>
  <cp:lastPrinted>2026-06-30T12:08:46Z</cp:lastPrinted>
  <dcterms:created xsi:type="dcterms:W3CDTF">2025-06-07T16:05:31Z</dcterms:created>
  <dcterms:modified xsi:type="dcterms:W3CDTF">2026-08-20T09:59:32Z</dcterms:modified>
</cp:coreProperties>
</file>